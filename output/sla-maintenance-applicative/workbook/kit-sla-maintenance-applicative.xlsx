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70e4cd420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D_ABORD" sheetId="1" r:id="Rf0d7d3be176943d7"/>
    <x:sheet xmlns:r="http://schemas.openxmlformats.org/officeDocument/2006/relationships" name="HYPOTHESES" sheetId="2" r:id="R41fbd218d2dc4ec5"/>
    <x:sheet xmlns:r="http://schemas.openxmlformats.org/officeDocument/2006/relationships" name="SERVICES_PARCOURS" sheetId="3" r:id="R6ac443f4766e4219"/>
    <x:sheet xmlns:r="http://schemas.openxmlformats.org/officeDocument/2006/relationships" name="PLAGES_CALENDRIER" sheetId="4" r:id="Re6abbbdfb31b498b"/>
    <x:sheet xmlns:r="http://schemas.openxmlformats.org/officeDocument/2006/relationships" name="DISPONIBILITE" sheetId="5" r:id="R37d1e83c126844f3"/>
    <x:sheet xmlns:r="http://schemas.openxmlformats.org/officeDocument/2006/relationships" name="INCIDENTS" sheetId="6" r:id="R810bed80896b4aae"/>
    <x:sheet xmlns:r="http://schemas.openxmlformats.org/officeDocument/2006/relationships" name="CHRONOLOGIE" sheetId="7" r:id="Rbce6312cd56a45d9"/>
    <x:sheet xmlns:r="http://schemas.openxmlformats.org/officeDocument/2006/relationships" name="COUT_INCIDENT" sheetId="8" r:id="Re218c98b72134369"/>
    <x:sheet xmlns:r="http://schemas.openxmlformats.org/officeDocument/2006/relationships" name="RPO_OPERATIONS" sheetId="9" r:id="Ra4543beda432429c"/>
    <x:sheet xmlns:r="http://schemas.openxmlformats.org/officeDocument/2006/relationships" name="DEPENDANCES" sheetId="10" r:id="R62777b5784874ce7"/>
    <x:sheet xmlns:r="http://schemas.openxmlformats.org/officeDocument/2006/relationships" name="COUVERTURES" sheetId="11" r:id="Ree6f88482ce34914"/>
    <x:sheet xmlns:r="http://schemas.openxmlformats.org/officeDocument/2006/relationships" name="COMPARAISON_12_MOIS" sheetId="12" r:id="R75dea64638a84457"/>
    <x:sheet xmlns:r="http://schemas.openxmlformats.org/officeDocument/2006/relationships" name="EXERCICES_PREUVES" sheetId="13" r:id="R740932d61fec4002"/>
    <x:sheet xmlns:r="http://schemas.openxmlformats.org/officeDocument/2006/relationships" name="COMMUNICATION" sheetId="14" r:id="Re283595cbe9f4a79"/>
    <x:sheet xmlns:r="http://schemas.openxmlformats.org/officeDocument/2006/relationships" name="DECISION" sheetId="15" r:id="R4f49c858b5104d18"/>
    <x:sheet xmlns:r="http://schemas.openxmlformats.org/officeDocument/2006/relationships" name="CONTROLES" sheetId="16" r:id="Rb6dfbe5d616a4d37"/>
    <x:sheet xmlns:r="http://schemas.openxmlformats.org/officeDocument/2006/relationships" name="SOURCES" sheetId="17" r:id="R20d070fb2c314fc6"/>
  </x:sheets>
</x:workbook>
</file>

<file path=xl/comments1.xml><?xml version="1.0" encoding="utf-8"?>
<x:comments xmlns:x="http://schemas.openxmlformats.org/spreadsheetml/2006/main">
  <x:authors>
    <x:author>tc={796AA96A-5754-0EDF-EC1B-D354F11BFF19}</x:author>
  </x:authors>
  <x:commentList>
    <x:comment ref="C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Les valeurs du classeur sont fictives et ne représentent ni un prix, ni une fréquence, ni une moyenne de marché.</x:t>
        </x:r>
      </x:text>
    </x:comment>
  </x:commentList>
</x:comments>
</file>

<file path=xl/comments2.xml><?xml version="1.0" encoding="utf-8"?>
<x:comments xmlns:x="http://schemas.openxmlformats.org/spreadsheetml/2006/main">
  <x:authors>
    <x:author>tc={91DF9781-6DB2-E266-BFDA-B97DFD304723}</x:author>
  </x:authors>
  <x:commentList>
    <x:comment ref="C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Passer à OUI uniquement après remplacement, sourçage et validation humaine de toutes les valeurs fictives.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dd/mm/yyyy hh:mm"/>
  </x:numFmts>
  <x:fonts count="9">
    <x:font>
      <x:sz val="11"/>
      <x:name val="Carlito"/>
    </x:font>
    <x:font>
      <x:b/>
      <x:sz val="19"/>
      <x:color rgb="FFFFFFFF"/>
      <x:name val="Aptos Display"/>
    </x:font>
    <x:font>
      <x:b/>
      <x:i/>
      <x:sz val="10"/>
      <x:color rgb="FFB45309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  <x:font>
      <x:sz val="9"/>
      <x:color rgb="FF1D4ED8"/>
      <x:name val="Carlito"/>
    </x:font>
    <x:font>
      <x:b/>
      <x:sz val="9"/>
      <x:color rgb="FFB45309"/>
      <x:name val="Carlito"/>
    </x:font>
    <x:font>
      <x:b/>
      <x:sz val="9"/>
      <x:color rgb="FF047857"/>
      <x:name val="Carlito"/>
    </x:font>
    <x:font>
      <x:b/>
      <x:sz val="11"/>
      <x:color rgb="FF04785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</x:fills>
  <x:borders count="5">
    <x:border/>
    <x:border>
      <x:bottom style="medium">
        <x:color rgb="FF172033"/>
      </x:bottom>
    </x:border>
    <x:border>
      <x:bottom style="thin">
        <x:color rgb="FFCBD5E1"/>
      </x:bottom>
    </x:border>
    <x:border>
      <x:bottom style="thin">
        <x:color rgb="FF93C5FD"/>
      </x:bottom>
    </x:border>
    <x:border>
      <x:bottom style="thin">
        <x:color rgb="FF6EE7B7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201" fontId="7" fillId="5" borderId="0" xfId="0" applyNumberFormat="1" applyFont="1" applyFill="1" applyBorder="1" applyAlignment="1">
      <x:alignment vertical="top" wrapText="1"/>
    </x:xf>
    <x:xf numFmtId="201" fontId="7" fillId="5" borderId="4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2" fontId="5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200" fontId="5" fillId="4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cb61cf82b4231" /><Relationship Type="http://schemas.openxmlformats.org/officeDocument/2006/relationships/theme" Target="/xl/theme/theme1.xml" Id="Rcf11a9799e624174" /><Relationship Type="http://schemas.openxmlformats.org/officeDocument/2006/relationships/sharedStrings" Target="/xl/sharedStrings.xml" Id="R5516cb2806ff44c4" /><Relationship Type="http://schemas.openxmlformats.org/officeDocument/2006/relationships/worksheet" Target="/xl/worksheets/sheet1.xml" Id="Rf0d7d3be176943d7" /><Relationship Type="http://schemas.openxmlformats.org/officeDocument/2006/relationships/worksheet" Target="/xl/worksheets/sheet2.xml" Id="R41fbd218d2dc4ec5" /><Relationship Type="http://schemas.openxmlformats.org/officeDocument/2006/relationships/worksheet" Target="/xl/worksheets/sheet3.xml" Id="R6ac443f4766e4219" /><Relationship Type="http://schemas.openxmlformats.org/officeDocument/2006/relationships/worksheet" Target="/xl/worksheets/sheet4.xml" Id="Re6abbbdfb31b498b" /><Relationship Type="http://schemas.openxmlformats.org/officeDocument/2006/relationships/worksheet" Target="/xl/worksheets/sheet5.xml" Id="R37d1e83c126844f3" /><Relationship Type="http://schemas.openxmlformats.org/officeDocument/2006/relationships/worksheet" Target="/xl/worksheets/sheet6.xml" Id="R810bed80896b4aae" /><Relationship Type="http://schemas.openxmlformats.org/officeDocument/2006/relationships/worksheet" Target="/xl/worksheets/sheet7.xml" Id="Rbce6312cd56a45d9" /><Relationship Type="http://schemas.openxmlformats.org/officeDocument/2006/relationships/worksheet" Target="/xl/worksheets/sheet8.xml" Id="Re218c98b72134369" /><Relationship Type="http://schemas.openxmlformats.org/officeDocument/2006/relationships/worksheet" Target="/xl/worksheets/sheet9.xml" Id="Ra4543beda432429c" /><Relationship Type="http://schemas.openxmlformats.org/officeDocument/2006/relationships/worksheet" Target="/xl/worksheets/sheet10.xml" Id="R62777b5784874ce7" /><Relationship Type="http://schemas.openxmlformats.org/officeDocument/2006/relationships/worksheet" Target="/xl/worksheets/sheet11.xml" Id="Ree6f88482ce34914" /><Relationship Type="http://schemas.openxmlformats.org/officeDocument/2006/relationships/worksheet" Target="/xl/worksheets/sheet12.xml" Id="R75dea64638a84457" /><Relationship Type="http://schemas.openxmlformats.org/officeDocument/2006/relationships/worksheet" Target="/xl/worksheets/sheet13.xml" Id="R740932d61fec4002" /><Relationship Type="http://schemas.openxmlformats.org/officeDocument/2006/relationships/worksheet" Target="/xl/worksheets/sheet14.xml" Id="Re283595cbe9f4a79" /><Relationship Type="http://schemas.openxmlformats.org/officeDocument/2006/relationships/worksheet" Target="/xl/worksheets/sheet15.xml" Id="R4f49c858b5104d18" /><Relationship Type="http://schemas.openxmlformats.org/officeDocument/2006/relationships/worksheet" Target="/xl/worksheets/sheet16.xml" Id="Rb6dfbe5d616a4d37" /><Relationship Type="http://schemas.openxmlformats.org/officeDocument/2006/relationships/worksheet" Target="/xl/worksheets/sheet17.xml" Id="R20d070fb2c314fc6" /><Relationship Type="http://schemas.microsoft.com/office/2017/10/relationships/person" Target="/xl/persons/person.xml" Id="R675fb30e369944a1" /></Relationships>
</file>

<file path=xl/persons/person.xml><?xml version="1.0" encoding="utf-8"?>
<xltc:personList xmlns:xltc="http://schemas.microsoft.com/office/spreadsheetml/2018/threadedcomments">
  <xltc:person displayName="Hagnéré Code" id="{1266324A-5AF4-44A9-BDD0-0A129B3A2BA8}"/>
</xltc:personList>
</file>

<file path=xl/tables/table1.xml><?xml version="1.0" encoding="utf-8"?>
<x:table xmlns:x="http://schemas.openxmlformats.org/spreadsheetml/2006/main" id="1" name="T_Lire_Abord" displayName="T_Lire_Abord" ref="B5:H16" headerRowCount="1" totalsRowCount="0" totalsRowShown="0">
  <x:autoFilter ref="B5:H16"/>
  <x:tableColumns count="7">
    <x:tableColumn id="1" name="Champ"/>
    <x:tableColumn id="2" name="Valeur livrée"/>
    <x:tableColumn id="3" name="Unité"/>
    <x:tableColumn id="4" name="À remplacer"/>
    <x:tableColumn id="5" name="Règle"/>
    <x:tableColumn id="6" name="Statut"/>
    <x:tableColumn id="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Hypotheses" displayName="T_Hypotheses" ref="B5:I14" headerRowCount="1" totalsRowCount="0" totalsRowShown="0">
  <x:autoFilter ref="B5:I14"/>
  <x:tableColumns count="8">
    <x:tableColumn id="1" name="ID"/>
    <x:tableColumn id="2" name="Hypothèse"/>
    <x:tableColumn id="3" name="Valeur"/>
    <x:tableColumn id="4" name="Unité"/>
    <x:tableColumn id="5" name="Propriétaire"/>
    <x:tableColumn id="6" name="Date"/>
    <x:tableColumn id="7" name="Source"/>
    <x:tableColumn id="8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ervices" displayName="T_Services" ref="B5:H9" headerRowCount="1" totalsRowCount="0" totalsRowShown="0">
  <x:autoFilter ref="B5:H9"/>
  <x:tableColumns count="7">
    <x:tableColumn id="1" name="ID"/>
    <x:tableColumn id="2" name="Service"/>
    <x:tableColumn id="3" name="Parcours"/>
    <x:tableColumn id="4" name="Preuve utilisateur"/>
    <x:tableColumn id="5" name="Mesure"/>
    <x:tableColumn id="6" name="Plage"/>
    <x:tableColumn id="7" name="Responsa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Plages" displayName="T_Plages" ref="B5:I9" headerRowCount="1" totalsRowCount="0" totalsRowShown="0">
  <x:autoFilter ref="B5:I9"/>
  <x:tableColumns count="8">
    <x:tableColumn id="1" name="ID"/>
    <x:tableColumn id="2" name="Jours"/>
    <x:tableColumn id="3" name="Début"/>
    <x:tableColumn id="4" name="Fin"/>
    <x:tableColumn id="5" name="Fuseau"/>
    <x:tableColumn id="6" name="Canal"/>
    <x:tableColumn id="7" name="Minimum"/>
    <x:tableColumn id="8" name="Pa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Disponibilite" displayName="T_Disponibilite" ref="B5:H10" headerRowCount="1" totalsRowCount="0" totalsRowShown="0">
  <x:autoFilter ref="B5:H10"/>
  <x:tableColumns count="7">
    <x:tableColumn id="1" name="Cible %"/>
    <x:tableColumn id="2" name="Jours"/>
    <x:tableColumn id="3" name="Heures/jour"/>
    <x:tableColumn id="4" name="Minutes couvertes"/>
    <x:tableColumn id="5" name="Arrêt admis min"/>
    <x:tableColumn id="6" name="Arrêt admis sec"/>
    <x:tableColumn id="7" name="Statu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Incidents" displayName="T_Incidents" ref="B5:I8" headerRowCount="1" totalsRowCount="0" totalsRowShown="0">
  <x:autoFilter ref="B5:I8"/>
  <x:tableColumns count="8">
    <x:tableColumn id="1" name="Référence"/>
    <x:tableColumn id="2" name="Date"/>
    <x:tableColumn id="3" name="Service"/>
    <x:tableColumn id="4" name="Sévérité"/>
    <x:tableColumn id="5" name="Impact"/>
    <x:tableColumn id="6" name="Contournement"/>
    <x:tableColumn id="7" name="Statut"/>
    <x:tableColumn id="8" name="Provena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hronologie" displayName="T_Chronologie" ref="B5:H12" headerRowCount="1" totalsRowCount="0" totalsRowShown="0">
  <x:autoFilter ref="B5:H12"/>
  <x:tableColumns count="7">
    <x:tableColumn id="1" name="Ordre"/>
    <x:tableColumn id="2" name="Horloge"/>
    <x:tableColumn id="3" name="Instant Europe/Paris"/>
    <x:tableColumn id="4" name="Minutes depuis observation"/>
    <x:tableColumn id="5" name="Preuve"/>
    <x:tableColumn id="6" name="Responsable"/>
    <x:tableColumn id="7" name="Statu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Cout_Incident" displayName="T_Cout_Incident" ref="B5:H13" headerRowCount="1" totalsRowCount="0" totalsRowShown="0">
  <x:autoFilter ref="B5:H13"/>
  <x:tableColumns count="7">
    <x:tableColumn id="1" name="Poste"/>
    <x:tableColumn id="2" name="Valeur"/>
    <x:tableColumn id="3" name="Unité"/>
    <x:tableColumn id="4" name="Formule / définition"/>
    <x:tableColumn id="5" name="Source"/>
    <x:tableColumn id="6" name="Résultat €"/>
    <x:tableColumn id="7" name="Statu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RPO" displayName="T_RPO" ref="B5:H8" headerRowCount="1" totalsRowCount="0" totalsRowShown="0">
  <x:autoFilter ref="B5:H8"/>
  <x:tableColumns count="7">
    <x:tableColumn id="1" name="Parcours"/>
    <x:tableColumn id="2" name="Opérations/h"/>
    <x:tableColumn id="3" name="RPO h"/>
    <x:tableColumn id="4" name="Minutes/op"/>
    <x:tableColumn id="5" name="Coût €/h"/>
    <x:tableColumn id="6" name="Opérations à risque"/>
    <x:tableColumn id="7" name="Coût de ressaisie €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Dependances" displayName="T_Dependances" ref="B5:I10" headerRowCount="1" totalsRowCount="0" totalsRowShown="0">
  <x:autoFilter ref="B5:I10"/>
  <x:tableColumns count="8">
    <x:tableColumn id="1" name="ID"/>
    <x:tableColumn id="2" name="Dépendance"/>
    <x:tableColumn id="3" name="Parcours"/>
    <x:tableColumn id="4" name="Propriétaire"/>
    <x:tableColumn id="5" name="Contrat"/>
    <x:tableColumn id="6" name="Escalade"/>
    <x:tableColumn id="7" name="Mode dégradé"/>
    <x:tableColumn id="8" name="Statu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Couvertures" displayName="T_Couvertures" ref="B5:L8" headerRowCount="1" totalsRowCount="0" totalsRowShown="0">
  <x:autoFilter ref="B5:L8"/>
  <x:tableColumns count="11">
    <x:tableColumn id="1" name="ID"/>
    <x:tableColumn id="2" name="Option"/>
    <x:tableColumn id="3" name="Transition €"/>
    <x:tableColumn id="4" name="Mensuel €"/>
    <x:tableColumn id="5" name="Interne h/mois"/>
    <x:tableColumn id="6" name="Coût interne €/h"/>
    <x:tableColumn id="7" name="Exercices €/an"/>
    <x:tableColumn id="8" name="Incidents/an"/>
    <x:tableColumn id="9" name="Coût/incident €"/>
    <x:tableColumn id="10" name="Source résiduelle"/>
    <x:tableColumn id="11" name="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Comparaison" displayName="T_Comparaison" ref="B5:H8" headerRowCount="1" totalsRowCount="0" totalsRowShown="0">
  <x:autoFilter ref="B5:H8"/>
  <x:tableColumns count="7">
    <x:tableColumn id="1" name="Option"/>
    <x:tableColumn id="2" name="Contrat annuel €"/>
    <x:tableColumn id="3" name="Interne annuel €"/>
    <x:tableColumn id="4" name="Résiduel annuel €"/>
    <x:tableColumn id="5" name="Total annuel €"/>
    <x:tableColumn id="6" name="Rang coût"/>
    <x:tableColumn id="7" name="Décis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Preuves" displayName="T_Preuves" ref="B5:J13" headerRowCount="1" totalsRowCount="0" totalsRowShown="0">
  <x:autoFilter ref="B5:J13"/>
  <x:tableColumns count="9">
    <x:tableColumn id="1" name="ID"/>
    <x:tableColumn id="2" name="Domaine"/>
    <x:tableColumn id="3" name="Attendu"/>
    <x:tableColumn id="4" name="Preuves admissibles"/>
    <x:tableColumn id="5" name="Sources"/>
    <x:tableColumn id="6" name="Statut"/>
    <x:tableColumn id="7" name="Référence"/>
    <x:tableColumn id="8" name="Date"/>
    <x:tableColumn id="9" name="Responsab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Communication" displayName="T_Communication" ref="B5:H9" headerRowCount="1" totalsRowCount="0" totalsRowShown="0">
  <x:autoFilter ref="B5:H9"/>
  <x:tableColumns count="7">
    <x:tableColumn id="1" name="ID"/>
    <x:tableColumn id="2" name="Moment"/>
    <x:tableColumn id="3" name="Destinataires"/>
    <x:tableColumn id="4" name="Cadence"/>
    <x:tableColumn id="5" name="Contenu"/>
    <x:tableColumn id="6" name="Secours"/>
    <x:tableColumn id="7" name="Statu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Decision" displayName="T_Decision" ref="B5:H17" headerRowCount="1" totalsRowCount="0" totalsRowShown="0">
  <x:autoFilter ref="B5:H17"/>
  <x:tableColumns count="7">
    <x:tableColumn id="1" name="Contrôle"/>
    <x:tableColumn id="2" name="Valeur"/>
    <x:tableColumn id="3" name="Règle"/>
    <x:tableColumn id="4" name="Effet"/>
    <x:tableColumn id="5" name="Responsable"/>
    <x:tableColumn id="6" name="Date"/>
    <x:tableColumn id="7" name="Statu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Controles" displayName="T_Controles" ref="B5:H146" headerRowCount="1" totalsRowCount="0" totalsRowShown="0">
  <x:autoFilter ref="B5:H146"/>
  <x:tableColumns count="7">
    <x:tableColumn id="1" name="ID"/>
    <x:tableColumn id="2" name="Famille"/>
    <x:tableColumn id="3" name="Cible"/>
    <x:tableColumn id="4" name="Injection"/>
    <x:tableColumn id="5" name="Attendu"/>
    <x:tableColumn id="6" name="Exécution"/>
    <x:tableColumn id="7" name="Statu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Sources" displayName="T_Sources" ref="B5:I20" headerRowCount="1" totalsRowCount="0" totalsRowShown="0">
  <x:autoFilter ref="B5:I20"/>
  <x:tableColumns count="8">
    <x:tableColumn id="1" name="ID"/>
    <x:tableColumn id="2" name="Organisme"/>
    <x:tableColumn id="3" name="Titre"/>
    <x:tableColumn id="4" name="URL officielle"/>
    <x:tableColumn id="5" name="Consulté"/>
    <x:tableColumn id="6" name="Usage"/>
    <x:tableColumn id="7" name="Limite"/>
    <x:tableColumn id="8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7" dT="2026-07-29T04:14:22.076" personId="{1266324A-5AF4-44A9-BDD0-0A129B3A2BA8}" id="{796AA96A-5754-0EDF-EC1B-D354F11BFF19}">
    <xltc:text>Les valeurs du classeur sont fictives et ne représentent ni un prix, ni une fréquence, ni une moyenne de marché.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8" dT="2026-07-29T04:14:22.076" personId="{1266324A-5AF4-44A9-BDD0-0A129B3A2BA8}" id="{91DF9781-6DB2-E266-BFDA-B97DFD304723}">
    <xltc:text>Passer à OUI uniquement après remplacement, sourçage et validation humaine de toutes les valeurs fictives.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9e4ebc4e1534026" /><Relationship Type="http://schemas.openxmlformats.org/officeDocument/2006/relationships/vmlDrawing" Target="/xl/drawings/vmldrawing.vml" Id="R4245591f61714ab2" /><Relationship Type="http://schemas.microsoft.com/office/2017/10/relationships/threadedComment" Target="/xl/threadedcomments/threadedcomment.xml" Id="R29c2caf2ce36458f" /><Relationship Type="http://schemas.openxmlformats.org/officeDocument/2006/relationships/table" Target="/xl/tables/table1.xml" Id="R106ff729aecf47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f94355ffda4d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18dea51d7e45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186f97cfb242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a96a9be8124e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2e1bca8562641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598c09eea074c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b3e40e263df4f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f48dbed39ea45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602e89a005d46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0669c1f83c844e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6561e37e4dc4c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08482f696c24f7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00bc988554144d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2.xml" Id="Rbc91f66e7f9f471e" /><Relationship Type="http://schemas.openxmlformats.org/officeDocument/2006/relationships/vmlDrawing" Target="/xl/drawings/vmldrawing2.vml" Id="R3801bdff7dbf4d67" /><Relationship Type="http://schemas.microsoft.com/office/2017/10/relationships/threadedComment" Target="/xl/threadedcomments/threadedcomment2.xml" Id="R31b1f39f80144497" /><Relationship Type="http://schemas.openxmlformats.org/officeDocument/2006/relationships/table" Target="/xl/tables/table15.xml" Id="R2475b59cfc72438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da29f4b0542487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a0e9db9326d43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LIRE D ABORD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Mode d’emploi, provenance et garde-fous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Champ</x:v>
      </x:c>
      <x:c r="C5" s="11" t="str">
        <x:v>Valeur livrée</x:v>
      </x:c>
      <x:c r="D5" s="11" t="str">
        <x:v>Unité</x:v>
      </x:c>
      <x:c r="E5" s="11" t="str">
        <x:v>À remplacer</x:v>
      </x:c>
      <x:c r="F5" s="11" t="str">
        <x:v>Règle</x:v>
      </x:c>
      <x:c r="G5" s="11" t="str">
        <x:v>Statut</x:v>
      </x:c>
      <x:c r="H5" s="11" t="str">
        <x:v>Note</x:v>
      </x:c>
    </x:row>
    <x:row r="6" ht="46" customHeight="1">
      <x:c r="B6" s="16" t="str">
        <x:v>Version</x:v>
      </x:c>
      <x:c r="C6" s="16" t="str">
        <x:v>sla-maintenance-kit-r1</x:v>
      </x:c>
      <x:c r="D6" s="16" t="str">
        <x:v>texte</x:v>
      </x:c>
      <x:c r="E6" s="16" t="str">
        <x:v>Non</x:v>
      </x:c>
      <x:c r="F6" s="16" t="str">
        <x:v>Traçabilité</x:v>
      </x:c>
      <x:c r="G6" s="16" t="str">
        <x:v>PASS</x:v>
      </x:c>
      <x:c r="H6" s="16" t="str">
        <x:v>2026-07-28</x:v>
      </x:c>
    </x:row>
    <x:row r="7" ht="46" customHeight="1">
      <x:c r="B7" s="24" t="str">
        <x:v>Provenance</x:v>
      </x:c>
      <x:c r="C7" s="24" t="str">
        <x:v>EXEMPLE FICTIF</x:v>
      </x:c>
      <x:c r="D7" s="24" t="str">
        <x:v>texte</x:v>
      </x:c>
      <x:c r="E7" s="24" t="str">
        <x:v>Oui</x:v>
      </x:c>
      <x:c r="F7" s="24" t="str">
        <x:v>Jamais une moyenne de marché</x:v>
      </x:c>
      <x:c r="G7" s="24" t="str">
        <x:v>INCOMPLET</x:v>
      </x:c>
      <x:c r="H7" s="24" t="str">
        <x:v>Le modèle final reste verrouillé</x:v>
      </x:c>
    </x:row>
    <x:row r="8" ht="46" customHeight="1">
      <x:c r="B8" s="24" t="str">
        <x:v>Données réelles confirmées</x:v>
      </x:c>
      <x:c r="C8" s="24" t="str">
        <x:v>NON</x:v>
      </x:c>
      <x:c r="D8" s="24" t="str">
        <x:v>OUI/NON</x:v>
      </x:c>
      <x:c r="E8" s="24" t="str">
        <x:v>Oui</x:v>
      </x:c>
      <x:c r="F8" s="24" t="str">
        <x:v>OUI requis avant décision finale</x:v>
      </x:c>
      <x:c r="G8" s="24" t="str">
        <x:v>INCOMPLET</x:v>
      </x:c>
      <x:c r="H8" s="24" t="str">
        <x:v>Validation humaine</x:v>
      </x:c>
    </x:row>
    <x:row r="9" ht="46" customHeight="1">
      <x:c r="B9" s="16" t="str">
        <x:v>Autorité confirmée</x:v>
      </x:c>
      <x:c r="C9" s="19" t="str">
        <x:v>OUI</x:v>
      </x:c>
      <x:c r="D9" s="16" t="str">
        <x:v>OUI/NON</x:v>
      </x:c>
      <x:c r="E9" s="16" t="str">
        <x:v>Oui</x:v>
      </x:c>
      <x:c r="F9" s="16" t="str">
        <x:v>NON = STOP</x:v>
      </x:c>
      <x:c r="G9" s="16" t="str">
        <x:v>PASS</x:v>
      </x:c>
      <x:c r="H9" s="16" t="str">
        <x:v>Mandat à référencer</x:v>
      </x:c>
    </x:row>
    <x:row r="10" ht="46" customHeight="1">
      <x:c r="B10" s="16" t="str">
        <x:v>Incident actif</x:v>
      </x:c>
      <x:c r="C10" s="19" t="str">
        <x:v>NON</x:v>
      </x:c>
      <x:c r="D10" s="16" t="str">
        <x:v>OUI/NON</x:v>
      </x:c>
      <x:c r="E10" s="16" t="str">
        <x:v>Oui</x:v>
      </x:c>
      <x:c r="F10" s="16" t="str">
        <x:v>OUI = STOP</x:v>
      </x:c>
      <x:c r="G10" s="16" t="str">
        <x:v>PASS</x:v>
      </x:c>
      <x:c r="H10" s="16" t="str">
        <x:v>Traiter avant comparaison</x:v>
      </x:c>
    </x:row>
    <x:row r="11" ht="46" customHeight="1">
      <x:c r="B11" s="16" t="str">
        <x:v>Date d’arrêté</x:v>
      </x:c>
      <x:c r="C11" s="21" t="n">
        <x:v>46231</x:v>
      </x:c>
      <x:c r="D11" s="16" t="str">
        <x:v>AAAA-MM-JJ</x:v>
      </x:c>
      <x:c r="E11" s="16" t="str">
        <x:v>Oui</x:v>
      </x:c>
      <x:c r="F11" s="16" t="str">
        <x:v>Date non future</x:v>
      </x:c>
      <x:c r="G11" s="16" t="str">
        <x:v>PASS</x:v>
      </x:c>
      <x:c r="H11" s="16" t="str">
        <x:v>Revoir les sources</x:v>
      </x:c>
    </x:row>
    <x:row r="12" ht="46" customHeight="1">
      <x:c r="B12" s="16" t="str">
        <x:v>Devise</x:v>
      </x:c>
      <x:c r="C12" s="20" t="str">
        <x:v>EUR</x:v>
      </x:c>
      <x:c r="D12" s="16" t="str">
        <x:v>ISO 4217</x:v>
      </x:c>
      <x:c r="E12" s="16" t="str">
        <x:v>Oui</x:v>
      </x:c>
      <x:c r="F12" s="16" t="str">
        <x:v>Même devise par comparaison</x:v>
      </x:c>
      <x:c r="G12" s="16" t="str">
        <x:v>PASS</x:v>
      </x:c>
      <x:c r="H12" s="16" t="str">
        <x:v>Conversion distincte si nécessaire</x:v>
      </x:c>
    </x:row>
    <x:row r="13" ht="46" customHeight="1">
      <x:c r="B13" s="16" t="str">
        <x:v>Secrets</x:v>
      </x:c>
      <x:c r="C13" s="16" t="str">
        <x:v>INTERDITS</x:v>
      </x:c>
      <x:c r="D13" s="16" t="str">
        <x:v>texte</x:v>
      </x:c>
      <x:c r="E13" s="16" t="str">
        <x:v>Non</x:v>
      </x:c>
      <x:c r="F13" s="16" t="str">
        <x:v>Aucun mot de passe, jeton ou clé</x:v>
      </x:c>
      <x:c r="G13" s="16" t="str">
        <x:v>PASS</x:v>
      </x:c>
      <x:c r="H13" s="16" t="str">
        <x:v>Références seulement</x:v>
      </x:c>
    </x:row>
    <x:row r="14" ht="46" customHeight="1">
      <x:c r="B14" s="16" t="str">
        <x:v>Inconnues</x:v>
      </x:c>
      <x:c r="C14" s="16" t="str">
        <x:v>ND</x:v>
      </x:c>
      <x:c r="D14" s="16" t="str">
        <x:v>texte</x:v>
      </x:c>
      <x:c r="E14" s="16" t="str">
        <x:v>Non</x:v>
      </x:c>
      <x:c r="F14" s="16" t="str">
        <x:v>Jamais remplacées par zéro</x:v>
      </x:c>
      <x:c r="G14" s="16" t="str">
        <x:v>PASS</x:v>
      </x:c>
      <x:c r="H14" s="16" t="str">
        <x:v>Responsable et date</x:v>
      </x:c>
    </x:row>
    <x:row r="15" ht="46" customHeight="1">
      <x:c r="B15" s="16" t="str">
        <x:v>Décision automatique</x:v>
      </x:c>
      <x:c r="C15" s="16" t="str">
        <x:v>INTERDITE</x:v>
      </x:c>
      <x:c r="D15" s="16" t="str">
        <x:v>texte</x:v>
      </x:c>
      <x:c r="E15" s="16" t="str">
        <x:v>Non</x:v>
      </x:c>
      <x:c r="F15" s="16" t="str">
        <x:v>Calculs ≠ recommandation</x:v>
      </x:c>
      <x:c r="G15" s="16" t="str">
        <x:v>PASS</x:v>
      </x:c>
      <x:c r="H15" s="16" t="str">
        <x:v>Arbitrage humain</x:v>
      </x:c>
    </x:row>
    <x:row r="16" ht="46" customHeight="1">
      <x:c r="B16" s="17" t="str">
        <x:v>Recalcul Excel</x:v>
      </x:c>
      <x:c r="C16" s="17" t="str">
        <x:v>NON EFFECTUE</x:v>
      </x:c>
      <x:c r="D16" s="17" t="str">
        <x:v>texte</x:v>
      </x:c>
      <x:c r="E16" s="17" t="str">
        <x:v>Non</x:v>
      </x:c>
      <x:c r="F16" s="17" t="str">
        <x:v>Artefact-tool uniquement</x:v>
      </x:c>
      <x:c r="G16" s="17" t="str">
        <x:v>PASS</x:v>
      </x:c>
      <x:c r="H16" s="17" t="str">
        <x:v>Ouvrir dans Excel avant usage réel</x:v>
      </x:c>
    </x:row>
  </x:sheetData>
  <x:mergeCells>
    <x:mergeCell ref="A1:H2"/>
    <x:mergeCell ref="A3:H3"/>
  </x:mergeCells>
  <x:conditionalFormatting sqref="G6:G16">
    <x:cfRule type="containsText" dxfId="0" priority="1" operator="containsText" text="STOP"/>
    <x:cfRule type="containsText" dxfId="1" priority="2" operator="containsText" text="INCOMPLET"/>
    <x:cfRule type="containsText" dxfId="2" priority="3" operator="containsText" text="PASS"/>
  </x:conditionalFormatting>
  <x:dataValidations count="2">
    <x:dataValidation type="list" sqref="C8:C10">
      <x:formula1>"OUI,NON"</x:formula1>
    </x:dataValidation>
    <x:dataValidation type="decimal" operator="between" sqref="C11">
      <x:formula1>1</x:formula1>
      <x:formula2>46231</x:formula2>
    </x:dataValidation>
  </x:dataValidations>
  <x:pageMargins left="0.7" right="0.7" top="0.75" bottom="0.75" header="0.3" footer="0.3"/>
  <x:legacyDrawing xmlns:r="http://schemas.openxmlformats.org/officeDocument/2006/relationships" r:id="R4245591f61714ab2"/>
  <x:tableParts count="1">
    <x:tablePart xmlns:r="http://schemas.openxmlformats.org/officeDocument/2006/relationships" r:id="R106ff729aecf47f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HYPOTHESES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Hypothèses fictives, unités, sources et propriétaires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Hypothèse</x:v>
      </x:c>
      <x:c r="D5" s="11" t="str">
        <x:v>Valeur</x:v>
      </x:c>
      <x:c r="E5" s="11" t="str">
        <x:v>Unité</x:v>
      </x:c>
      <x:c r="F5" s="11" t="str">
        <x:v>Propriétaire</x:v>
      </x:c>
      <x:c r="G5" s="11" t="str">
        <x:v>Date</x:v>
      </x:c>
      <x:c r="H5" s="11" t="str">
        <x:v>Source</x:v>
      </x:c>
      <x:c r="I5" s="11" t="str">
        <x:v>Statut</x:v>
      </x:c>
    </x:row>
    <x:row r="6" ht="42" customHeight="1">
      <x:c r="B6" s="16" t="str">
        <x:v>H01</x:v>
      </x:c>
      <x:c r="C6" s="16" t="str">
        <x:v>Disponibilité cible</x:v>
      </x:c>
      <x:c r="D6" s="19" t="n">
        <x:v>99.9</x:v>
      </x:c>
      <x:c r="E6" s="16" t="str">
        <x:v>%</x:v>
      </x:c>
      <x:c r="F6" s="16" t="str">
        <x:v>Direction métier</x:v>
      </x:c>
      <x:c r="G6" s="16" t="str">
        <x:v>2026-07-28</x:v>
      </x:c>
      <x:c r="H6" s="16" t="str">
        <x:v>Fixture</x:v>
      </x:c>
      <x:c r="I6" s="16" t="str">
        <x:v>À remplacer</x:v>
      </x:c>
    </x:row>
    <x:row r="7" ht="42" customHeight="1">
      <x:c r="B7" s="16" t="str">
        <x:v>H02</x:v>
      </x:c>
      <x:c r="C7" s="16" t="str">
        <x:v>Fenêtre</x:v>
      </x:c>
      <x:c r="D7" s="19" t="n">
        <x:v>30</x:v>
      </x:c>
      <x:c r="E7" s="16" t="str">
        <x:v>jours</x:v>
      </x:c>
      <x:c r="F7" s="16" t="str">
        <x:v>Exploitation</x:v>
      </x:c>
      <x:c r="G7" s="16" t="str">
        <x:v>2026-07-28</x:v>
      </x:c>
      <x:c r="H7" s="16" t="str">
        <x:v>Fixture</x:v>
      </x:c>
      <x:c r="I7" s="16" t="str">
        <x:v>À remplacer</x:v>
      </x:c>
    </x:row>
    <x:row r="8" ht="42" customHeight="1">
      <x:c r="B8" s="16" t="str">
        <x:v>H03</x:v>
      </x:c>
      <x:c r="C8" s="16" t="str">
        <x:v>Couverture quotidienne</x:v>
      </x:c>
      <x:c r="D8" s="19" t="n">
        <x:v>24</x:v>
      </x:c>
      <x:c r="E8" s="16" t="str">
        <x:v>h/jour</x:v>
      </x:c>
      <x:c r="F8" s="16" t="str">
        <x:v>Exploitation</x:v>
      </x:c>
      <x:c r="G8" s="16" t="str">
        <x:v>2026-07-28</x:v>
      </x:c>
      <x:c r="H8" s="16" t="str">
        <x:v>Fixture</x:v>
      </x:c>
      <x:c r="I8" s="16" t="str">
        <x:v>À remplacer</x:v>
      </x:c>
    </x:row>
    <x:row r="9" ht="42" customHeight="1">
      <x:c r="B9" s="16" t="str">
        <x:v>H04</x:v>
      </x:c>
      <x:c r="C9" s="16" t="str">
        <x:v>Opérations par heure</x:v>
      </x:c>
      <x:c r="D9" s="19" t="n">
        <x:v>40</x:v>
      </x:c>
      <x:c r="E9" s="16" t="str">
        <x:v>op/h</x:v>
      </x:c>
      <x:c r="F9" s="16" t="str">
        <x:v>Métier</x:v>
      </x:c>
      <x:c r="G9" s="16" t="str">
        <x:v>2026-07-28</x:v>
      </x:c>
      <x:c r="H9" s="16" t="str">
        <x:v>Fixture</x:v>
      </x:c>
      <x:c r="I9" s="16" t="str">
        <x:v>À remplacer</x:v>
      </x:c>
    </x:row>
    <x:row r="10" ht="42" customHeight="1">
      <x:c r="B10" s="16" t="str">
        <x:v>H05</x:v>
      </x:c>
      <x:c r="C10" s="16" t="str">
        <x:v>RPO maximal</x:v>
      </x:c>
      <x:c r="D10" s="19" t="n">
        <x:v>1.5</x:v>
      </x:c>
      <x:c r="E10" s="16" t="str">
        <x:v>h</x:v>
      </x:c>
      <x:c r="F10" s="16" t="str">
        <x:v>Métier</x:v>
      </x:c>
      <x:c r="G10" s="16" t="str">
        <x:v>2026-07-28</x:v>
      </x:c>
      <x:c r="H10" s="16" t="str">
        <x:v>Fixture</x:v>
      </x:c>
      <x:c r="I10" s="16" t="str">
        <x:v>À remplacer</x:v>
      </x:c>
    </x:row>
    <x:row r="11" ht="42" customHeight="1">
      <x:c r="B11" s="16" t="str">
        <x:v>H06</x:v>
      </x:c>
      <x:c r="C11" s="16" t="str">
        <x:v>Ressaisie</x:v>
      </x:c>
      <x:c r="D11" s="19" t="n">
        <x:v>4</x:v>
      </x:c>
      <x:c r="E11" s="16" t="str">
        <x:v>min/op</x:v>
      </x:c>
      <x:c r="F11" s="16" t="str">
        <x:v>Métier</x:v>
      </x:c>
      <x:c r="G11" s="16" t="str">
        <x:v>2026-07-28</x:v>
      </x:c>
      <x:c r="H11" s="16" t="str">
        <x:v>Fixture</x:v>
      </x:c>
      <x:c r="I11" s="16" t="str">
        <x:v>À remplacer</x:v>
      </x:c>
    </x:row>
    <x:row r="12" ht="42" customHeight="1">
      <x:c r="B12" s="16" t="str">
        <x:v>H07</x:v>
      </x:c>
      <x:c r="C12" s="16" t="str">
        <x:v>Coût horaire chargé</x:v>
      </x:c>
      <x:c r="D12" s="19" t="n">
        <x:v>35</x:v>
      </x:c>
      <x:c r="E12" s="16" t="str">
        <x:v>€/h</x:v>
      </x:c>
      <x:c r="F12" s="16" t="str">
        <x:v>Finance</x:v>
      </x:c>
      <x:c r="G12" s="16" t="str">
        <x:v>2026-07-28</x:v>
      </x:c>
      <x:c r="H12" s="16" t="str">
        <x:v>Fixture</x:v>
      </x:c>
      <x:c r="I12" s="16" t="str">
        <x:v>À remplacer</x:v>
      </x:c>
    </x:row>
    <x:row r="13" ht="42" customHeight="1">
      <x:c r="B13" s="16" t="str">
        <x:v>H08</x:v>
      </x:c>
      <x:c r="C13" s="16" t="str">
        <x:v>Durée d’arrêt</x:v>
      </x:c>
      <x:c r="D13" s="19" t="n">
        <x:v>4.2</x:v>
      </x:c>
      <x:c r="E13" s="16" t="str">
        <x:v>h</x:v>
      </x:c>
      <x:c r="F13" s="16" t="str">
        <x:v>Exploitation</x:v>
      </x:c>
      <x:c r="G13" s="16" t="str">
        <x:v>2026-07-28</x:v>
      </x:c>
      <x:c r="H13" s="16" t="str">
        <x:v>Fixture</x:v>
      </x:c>
      <x:c r="I13" s="16" t="str">
        <x:v>À remplacer</x:v>
      </x:c>
    </x:row>
    <x:row r="14" ht="42" customHeight="1">
      <x:c r="B14" s="17" t="str">
        <x:v>H09</x:v>
      </x:c>
      <x:c r="C14" s="17" t="str">
        <x:v>Personnes affectées</x:v>
      </x:c>
      <x:c r="D14" s="20" t="n">
        <x:v>12</x:v>
      </x:c>
      <x:c r="E14" s="17" t="str">
        <x:v>personnes</x:v>
      </x:c>
      <x:c r="F14" s="17" t="str">
        <x:v>Métier</x:v>
      </x:c>
      <x:c r="G14" s="17" t="str">
        <x:v>2026-07-28</x:v>
      </x:c>
      <x:c r="H14" s="17" t="str">
        <x:v>Fixture</x:v>
      </x:c>
      <x:c r="I14" s="17" t="str">
        <x:v>À remplacer</x:v>
      </x:c>
    </x:row>
  </x:sheetData>
  <x:mergeCells>
    <x:mergeCell ref="A1:H2"/>
    <x:mergeCell ref="A3:H3"/>
  </x:mergeCells>
  <x:dataValidations count="1">
    <x:dataValidation type="list" sqref="I6:I14">
      <x:formula1>"ND,DECLARE,VERIFIE,ECHEC,NA"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f94355ffda4d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SERVICES PARCOURS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Services, parcours critiques, SLI et preuves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Service</x:v>
      </x:c>
      <x:c r="D5" s="11" t="str">
        <x:v>Parcours</x:v>
      </x:c>
      <x:c r="E5" s="11" t="str">
        <x:v>Preuve utilisateur</x:v>
      </x:c>
      <x:c r="F5" s="11" t="str">
        <x:v>Mesure</x:v>
      </x:c>
      <x:c r="G5" s="11" t="str">
        <x:v>Plage</x:v>
      </x:c>
      <x:c r="H5" s="11" t="str">
        <x:v>Responsable</x:v>
      </x:c>
    </x:row>
    <x:row r="6" ht="60" customHeight="1">
      <x:c r="B6" s="16" t="str">
        <x:v>S01</x:v>
      </x:c>
      <x:c r="C6" s="19" t="str">
        <x:v>Facturation B2B</x:v>
      </x:c>
      <x:c r="D6" s="19" t="str">
        <x:v>Créer, valider et envoyer une facture</x:v>
      </x:c>
      <x:c r="E6" s="19" t="str">
        <x:v>Facture test retrouvée et exacte</x:v>
      </x:c>
      <x:c r="F6" s="19" t="str">
        <x:v>Synthétique 5 min</x:v>
      </x:c>
      <x:c r="G6" s="19" t="str">
        <x:v>24/7 fictif</x:v>
      </x:c>
      <x:c r="H6" s="19" t="str">
        <x:v>Direction opérations</x:v>
      </x:c>
    </x:row>
    <x:row r="7" ht="60" customHeight="1">
      <x:c r="B7" s="16" t="str">
        <x:v>S02</x:v>
      </x:c>
      <x:c r="C7" s="19" t="str">
        <x:v>Paiement</x:v>
      </x:c>
      <x:c r="D7" s="19" t="str">
        <x:v>Autoriser et rapprocher un paiement</x:v>
      </x:c>
      <x:c r="E7" s="19" t="str">
        <x:v>Paiement et commande réconciliés</x:v>
      </x:c>
      <x:c r="F7" s="19" t="str">
        <x:v>Synthétique 5 min</x:v>
      </x:c>
      <x:c r="G7" s="19" t="str">
        <x:v>24/7 fictif</x:v>
      </x:c>
      <x:c r="H7" s="19" t="str">
        <x:v>Direction finance</x:v>
      </x:c>
    </x:row>
    <x:row r="8" ht="60" customHeight="1">
      <x:c r="B8" s="16" t="str">
        <x:v>S03</x:v>
      </x:c>
      <x:c r="C8" s="19" t="str">
        <x:v>Interventions</x:v>
      </x:c>
      <x:c r="D8" s="19" t="str">
        <x:v>Consulter le dossier terrain</x:v>
      </x:c>
      <x:c r="E8" s="19" t="str">
        <x:v>Dossier complet accessible</x:v>
      </x:c>
      <x:c r="F8" s="19" t="str">
        <x:v>Recette horaire</x:v>
      </x:c>
      <x:c r="G8" s="19" t="str">
        <x:v>06:00-22:00 fictif</x:v>
      </x:c>
      <x:c r="H8" s="19" t="str">
        <x:v>Direction terrain</x:v>
      </x:c>
    </x:row>
    <x:row r="9" ht="60" customHeight="1">
      <x:c r="B9" s="17" t="str">
        <x:v>S04</x:v>
      </x:c>
      <x:c r="C9" s="20" t="str">
        <x:v>Documents client</x:v>
      </x:c>
      <x:c r="D9" s="20" t="str">
        <x:v>Télécharger un document attendu</x:v>
      </x:c>
      <x:c r="E9" s="20" t="str">
        <x:v>Document intègre et autorisé</x:v>
      </x:c>
      <x:c r="F9" s="20" t="str">
        <x:v>Recette horaire</x:v>
      </x:c>
      <x:c r="G9" s="20" t="str">
        <x:v>Heures ouvrées fictives</x:v>
      </x:c>
      <x:c r="H9" s="20" t="str">
        <x:v>Service client</x:v>
      </x:c>
    </x:row>
  </x:sheetData>
  <x:mergeCells>
    <x:mergeCell ref="A1:H2"/>
    <x:mergeCell ref="A3:H3"/>
  </x:mergeCells>
  <x:dataValidations count="1">
    <x:dataValidation type="list" sqref="H6:H9">
      <x:formula1>"ND,DECLARE,VERIFIE,ECHEC,NA"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18dea51d7e45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PLAGES CALENDRIER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Jours, heures, fuseau, canaux et pauses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Jours</x:v>
      </x:c>
      <x:c r="D5" s="11" t="str">
        <x:v>Début</x:v>
      </x:c>
      <x:c r="E5" s="11" t="str">
        <x:v>Fin</x:v>
      </x:c>
      <x:c r="F5" s="11" t="str">
        <x:v>Fuseau</x:v>
      </x:c>
      <x:c r="G5" s="11" t="str">
        <x:v>Canal</x:v>
      </x:c>
      <x:c r="H5" s="11" t="str">
        <x:v>Minimum</x:v>
      </x:c>
      <x:c r="I5" s="11" t="str">
        <x:v>Pause</x:v>
      </x:c>
    </x:row>
    <x:row r="6" ht="54" customHeight="1">
      <x:c r="B6" s="16" t="str">
        <x:v>P01</x:v>
      </x:c>
      <x:c r="C6" s="19" t="str">
        <x:v>Lundi-vendredi</x:v>
      </x:c>
      <x:c r="D6" s="19" t="str">
        <x:v>08:00</x:v>
      </x:c>
      <x:c r="E6" s="19" t="str">
        <x:v>18:00</x:v>
      </x:c>
      <x:c r="F6" s="19" t="str">
        <x:v>Europe/Paris</x:v>
      </x:c>
      <x:c r="G6" s="19" t="str">
        <x:v>Portail + téléphone</x:v>
      </x:c>
      <x:c r="H6" s="19" t="str">
        <x:v>Ticket qualifié</x:v>
      </x:c>
      <x:c r="I6" s="19" t="str">
        <x:v>Pause référencée</x:v>
      </x:c>
    </x:row>
    <x:row r="7" ht="54" customHeight="1">
      <x:c r="B7" s="16" t="str">
        <x:v>P02</x:v>
      </x:c>
      <x:c r="C7" s="19" t="str">
        <x:v>Samedi</x:v>
      </x:c>
      <x:c r="D7" s="19" t="str">
        <x:v>09:00</x:v>
      </x:c>
      <x:c r="E7" s="19" t="str">
        <x:v>13:00</x:v>
      </x:c>
      <x:c r="F7" s="19" t="str">
        <x:v>Europe/Paris</x:v>
      </x:c>
      <x:c r="G7" s="19" t="str">
        <x:v>Téléphone</x:v>
      </x:c>
      <x:c r="H7" s="19" t="str">
        <x:v>Impact + parcours</x:v>
      </x:c>
      <x:c r="I7" s="19" t="str">
        <x:v>Pause référencée</x:v>
      </x:c>
    </x:row>
    <x:row r="8" ht="54" customHeight="1">
      <x:c r="B8" s="16" t="str">
        <x:v>P03</x:v>
      </x:c>
      <x:c r="C8" s="19" t="str">
        <x:v>Hors plage</x:v>
      </x:c>
      <x:c r="D8" s="19" t="str">
        <x:v>ND</x:v>
      </x:c>
      <x:c r="E8" s="19" t="str">
        <x:v>ND</x:v>
      </x:c>
      <x:c r="F8" s="19" t="str">
        <x:v>Europe/Paris</x:v>
      </x:c>
      <x:c r="G8" s="19" t="str">
        <x:v>Supervision</x:v>
      </x:c>
      <x:c r="H8" s="19" t="str">
        <x:v>File d’attente</x:v>
      </x:c>
      <x:c r="I8" s="19" t="str">
        <x:v>Départ à l’ouverture</x:v>
      </x:c>
    </x:row>
    <x:row r="9" ht="54" customHeight="1">
      <x:c r="B9" s="17" t="str">
        <x:v>P04</x:v>
      </x:c>
      <x:c r="C9" s="20" t="str">
        <x:v>Jours fériés</x:v>
      </x:c>
      <x:c r="D9" s="20" t="str">
        <x:v>EXCLU</x:v>
      </x:c>
      <x:c r="E9" s="20" t="str">
        <x:v>EXCLU</x:v>
      </x:c>
      <x:c r="F9" s="20" t="str">
        <x:v>Europe/Paris</x:v>
      </x:c>
      <x:c r="G9" s="20" t="str">
        <x:v>Aucun</x:v>
      </x:c>
      <x:c r="H9" s="20" t="str">
        <x:v>Aucun</x:v>
      </x:c>
      <x:c r="I9" s="20" t="str">
        <x:v>À négocier</x:v>
      </x:c>
    </x:row>
  </x:sheetData>
  <x:mergeCells>
    <x:mergeCell ref="A1:H2"/>
    <x:mergeCell ref="A3:H3"/>
  </x:mergeCells>
  <x:dataValidations count="1">
    <x:dataValidation type="list" sqref="I6:I9">
      <x:formula1>"ND,DECLARE,VERIFIE,ECHEC,NA"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186f97cfb2428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DISPONIBILITE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Conversion des cibles en minutes et secondes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Cible %</x:v>
      </x:c>
      <x:c r="C5" s="11" t="str">
        <x:v>Jours</x:v>
      </x:c>
      <x:c r="D5" s="11" t="str">
        <x:v>Heures/jour</x:v>
      </x:c>
      <x:c r="E5" s="11" t="str">
        <x:v>Minutes couvertes</x:v>
      </x:c>
      <x:c r="F5" s="11" t="str">
        <x:v>Arrêt admis min</x:v>
      </x:c>
      <x:c r="G5" s="11" t="str">
        <x:v>Arrêt admis sec</x:v>
      </x:c>
      <x:c r="H5" s="11" t="str">
        <x:v>Statut</x:v>
      </x:c>
    </x:row>
    <x:row r="6" ht="42" customHeight="1">
      <x:c r="B6" s="19" t="n">
        <x:v>99</x:v>
      </x:c>
      <x:c r="C6" s="19" t="n">
        <x:v>30</x:v>
      </x:c>
      <x:c r="D6" s="19" t="n">
        <x:v>24</x:v>
      </x:c>
      <x:c r="E6" s="29" t="n">
        <x:f>C6*D6*60</x:f>
        <x:v>43200</x:v>
      </x:c>
      <x:c r="F6" s="32" t="n">
        <x:f>E6*(1-B6/100)</x:f>
        <x:v>432.0000000000004</x:v>
      </x:c>
      <x:c r="G6" s="29" t="n">
        <x:f>ROUND(F6*60,0)</x:f>
        <x:v>25920</x:v>
      </x:c>
      <x:c r="H6" s="29" t="str">
        <x:f>IF(AND(ISNUMBER(B6),ISNUMBER(C6),ISNUMBER(D6)),IF(AND(B6&gt;0,B6&lt;100,ROUND(B6,4)=B6,C6&gt;0,C6&lt;=366,INT(C6)=C6,D6&gt;0,D6&lt;=24,ROUND(D6,4)=D6),"PASS","STOP"),"STOP")</x:f>
        <x:v>PASS</x:v>
      </x:c>
    </x:row>
    <x:row r="7" ht="42" customHeight="1">
      <x:c r="B7" s="19" t="n">
        <x:v>99.5</x:v>
      </x:c>
      <x:c r="C7" s="19" t="n">
        <x:v>30</x:v>
      </x:c>
      <x:c r="D7" s="19" t="n">
        <x:v>24</x:v>
      </x:c>
      <x:c r="E7" s="29" t="n">
        <x:f>C7*D7*60</x:f>
        <x:v>43200</x:v>
      </x:c>
      <x:c r="F7" s="32" t="n">
        <x:f>E7*(1-B7/100)</x:f>
        <x:v>216.0000000000002</x:v>
      </x:c>
      <x:c r="G7" s="29" t="n">
        <x:f>ROUND(F7*60,0)</x:f>
        <x:v>12960</x:v>
      </x:c>
      <x:c r="H7" s="29" t="str">
        <x:f>IF(AND(ISNUMBER(B7),ISNUMBER(C7),ISNUMBER(D7)),IF(AND(B7&gt;0,B7&lt;100,ROUND(B7,4)=B7,C7&gt;0,C7&lt;=366,INT(C7)=C7,D7&gt;0,D7&lt;=24,ROUND(D7,4)=D7),"PASS","STOP"),"STOP")</x:f>
        <x:v>PASS</x:v>
      </x:c>
    </x:row>
    <x:row r="8" ht="42" customHeight="1">
      <x:c r="B8" s="19" t="n">
        <x:v>99.9</x:v>
      </x:c>
      <x:c r="C8" s="19" t="n">
        <x:v>30</x:v>
      </x:c>
      <x:c r="D8" s="19" t="n">
        <x:v>24</x:v>
      </x:c>
      <x:c r="E8" s="29" t="n">
        <x:f>C8*D8*60</x:f>
        <x:v>43200</x:v>
      </x:c>
      <x:c r="F8" s="32" t="n">
        <x:f>E8*(1-B8/100)</x:f>
        <x:v>43.19999999999524</x:v>
      </x:c>
      <x:c r="G8" s="29" t="n">
        <x:f>ROUND(F8*60,0)</x:f>
        <x:v>2592</x:v>
      </x:c>
      <x:c r="H8" s="29" t="str">
        <x:f>IF(AND(ISNUMBER(B8),ISNUMBER(C8),ISNUMBER(D8)),IF(AND(B8&gt;0,B8&lt;100,ROUND(B8,4)=B8,C8&gt;0,C8&lt;=366,INT(C8)=C8,D8&gt;0,D8&lt;=24,ROUND(D8,4)=D8),"PASS","STOP"),"STOP")</x:f>
        <x:v>PASS</x:v>
      </x:c>
    </x:row>
    <x:row r="9" ht="42" customHeight="1">
      <x:c r="B9" s="19" t="n">
        <x:v>99.95</x:v>
      </x:c>
      <x:c r="C9" s="19" t="n">
        <x:v>30</x:v>
      </x:c>
      <x:c r="D9" s="19" t="n">
        <x:v>24</x:v>
      </x:c>
      <x:c r="E9" s="29" t="n">
        <x:f>C9*D9*60</x:f>
        <x:v>43200</x:v>
      </x:c>
      <x:c r="F9" s="32" t="n">
        <x:f>E9*(1-B9/100)</x:f>
        <x:v>21.59999999999762</x:v>
      </x:c>
      <x:c r="G9" s="29" t="n">
        <x:f>ROUND(F9*60,0)</x:f>
        <x:v>1296</x:v>
      </x:c>
      <x:c r="H9" s="29" t="str">
        <x:f>IF(AND(ISNUMBER(B9),ISNUMBER(C9),ISNUMBER(D9)),IF(AND(B9&gt;0,B9&lt;100,ROUND(B9,4)=B9,C9&gt;0,C9&lt;=366,INT(C9)=C9,D9&gt;0,D9&lt;=24,ROUND(D9,4)=D9),"PASS","STOP"),"STOP")</x:f>
        <x:v>PASS</x:v>
      </x:c>
    </x:row>
    <x:row r="10" ht="42" customHeight="1">
      <x:c r="B10" s="20" t="n">
        <x:v>99.99</x:v>
      </x:c>
      <x:c r="C10" s="20" t="n">
        <x:v>30</x:v>
      </x:c>
      <x:c r="D10" s="20" t="n">
        <x:v>24</x:v>
      </x:c>
      <x:c r="E10" s="31" t="n">
        <x:f>C10*D10*60</x:f>
        <x:v>43200</x:v>
      </x:c>
      <x:c r="F10" s="33" t="n">
        <x:f>E10*(1-B10/100)</x:f>
        <x:v>4.32000000000432</x:v>
      </x:c>
      <x:c r="G10" s="31" t="n">
        <x:f>ROUND(F10*60,0)</x:f>
        <x:v>259</x:v>
      </x:c>
      <x:c r="H10" s="31" t="str">
        <x:f>IF(AND(ISNUMBER(B10),ISNUMBER(C10),ISNUMBER(D10)),IF(AND(B10&gt;0,B10&lt;100,ROUND(B10,4)=B10,C10&gt;0,C10&lt;=366,INT(C10)=C10,D10&gt;0,D10&lt;=24,ROUND(D10,4)=D10),"PASS","STOP"),"STOP")</x:f>
        <x:v>PASS</x:v>
      </x:c>
    </x:row>
  </x:sheetData>
  <x:mergeCells>
    <x:mergeCell ref="A1:H2"/>
    <x:mergeCell ref="A3:H3"/>
  </x:mergeCells>
  <x:conditionalFormatting sqref="H6:H10">
    <x:cfRule type="containsText" dxfId="3" priority="1" operator="containsText" text="STOP"/>
    <x:cfRule type="containsText" dxfId="4" priority="2" operator="containsText" text="INCOMPLET"/>
    <x:cfRule type="containsText" dxfId="5" priority="3" operator="containsText" text="PASS"/>
  </x:conditionalFormatting>
  <x:dataValidations count="3">
    <x:dataValidation type="decimal" operator="between" sqref="B6:B10">
      <x:formula1>0.01</x:formula1>
      <x:formula2>99.9999</x:formula2>
    </x:dataValidation>
    <x:dataValidation operator="between" sqref="C6:C10">
      <x:formula1>1</x:formula1>
      <x:formula2>366</x:formula2>
    </x:dataValidation>
    <x:dataValidation type="decimal" operator="between" sqref="D6:D10">
      <x:formula1>0.0001</x:formula1>
      <x:formula2>24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3a96a9be8124ec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INCIDENTS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Registre des incidents, impact et statut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Référence</x:v>
      </x:c>
      <x:c r="C5" s="11" t="str">
        <x:v>Date</x:v>
      </x:c>
      <x:c r="D5" s="11" t="str">
        <x:v>Service</x:v>
      </x:c>
      <x:c r="E5" s="11" t="str">
        <x:v>Sévérité</x:v>
      </x:c>
      <x:c r="F5" s="11" t="str">
        <x:v>Impact</x:v>
      </x:c>
      <x:c r="G5" s="11" t="str">
        <x:v>Contournement</x:v>
      </x:c>
      <x:c r="H5" s="11" t="str">
        <x:v>Statut</x:v>
      </x:c>
      <x:c r="I5" s="11" t="str">
        <x:v>Provenance</x:v>
      </x:c>
    </x:row>
    <x:row r="6" ht="58" customHeight="1">
      <x:c r="B6" s="16" t="str">
        <x:v>INC-001</x:v>
      </x:c>
      <x:c r="C6" s="19" t="str">
        <x:v>2026-07-28</x:v>
      </x:c>
      <x:c r="D6" s="19" t="str">
        <x:v>Facturation B2B</x:v>
      </x:c>
      <x:c r="E6" s="19" t="str">
        <x:v>P1 fictif</x:v>
      </x:c>
      <x:c r="F6" s="19" t="str">
        <x:v>Parcours bloqué</x:v>
      </x:c>
      <x:c r="G6" s="19" t="str">
        <x:v>Contournement manuel</x:v>
      </x:c>
      <x:c r="H6" s="19" t="str">
        <x:v>CLOS</x:v>
      </x:c>
      <x:c r="I6" s="19" t="str">
        <x:v>EXEMPLE FICTIF</x:v>
      </x:c>
    </x:row>
    <x:row r="7" ht="58" customHeight="1">
      <x:c r="B7" s="16" t="str">
        <x:v>INC-002</x:v>
      </x:c>
      <x:c r="C7" s="19" t="str"/>
      <x:c r="D7" s="19" t="str"/>
      <x:c r="E7" s="19" t="str">
        <x:v>ND</x:v>
      </x:c>
      <x:c r="F7" s="19" t="str"/>
      <x:c r="G7" s="19" t="str"/>
      <x:c r="H7" s="19" t="str">
        <x:v>OUVERT</x:v>
      </x:c>
      <x:c r="I7" s="19" t="str">
        <x:v>À saisir</x:v>
      </x:c>
    </x:row>
    <x:row r="8" ht="58" customHeight="1">
      <x:c r="B8" s="17" t="str">
        <x:v>INC-003</x:v>
      </x:c>
      <x:c r="C8" s="20" t="str"/>
      <x:c r="D8" s="20" t="str"/>
      <x:c r="E8" s="20" t="str">
        <x:v>ND</x:v>
      </x:c>
      <x:c r="F8" s="20" t="str"/>
      <x:c r="G8" s="20" t="str"/>
      <x:c r="H8" s="20" t="str">
        <x:v>OUVERT</x:v>
      </x:c>
      <x:c r="I8" s="20" t="str">
        <x:v>À saisir</x:v>
      </x:c>
    </x:row>
  </x:sheetData>
  <x:mergeCells>
    <x:mergeCell ref="A1:H2"/>
    <x:mergeCell ref="A3:H3"/>
  </x:mergeCells>
  <x:dataValidations count="1">
    <x:dataValidation type="list" sqref="E6:E8">
      <x:formula1>"P1 fictif,P2 fictif,P3 fictif,ND"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e1bca85626412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CHRONOLOGIE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Sept horloges distinctes avec décalage explicite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Ordre</x:v>
      </x:c>
      <x:c r="C5" s="11" t="str">
        <x:v>Horloge</x:v>
      </x:c>
      <x:c r="D5" s="11" t="str">
        <x:v>Instant Europe/Paris</x:v>
      </x:c>
      <x:c r="E5" s="11" t="str">
        <x:v>Minutes depuis observation</x:v>
      </x:c>
      <x:c r="F5" s="11" t="str">
        <x:v>Preuve</x:v>
      </x:c>
      <x:c r="G5" s="11" t="str">
        <x:v>Responsable</x:v>
      </x:c>
      <x:c r="H5" s="11" t="str">
        <x:v>Statut</x:v>
      </x:c>
    </x:row>
    <x:row r="6" ht="42" customHeight="1">
      <x:c r="B6" s="16" t="n">
        <x:v>1</x:v>
      </x:c>
      <x:c r="C6" s="16" t="str">
        <x:v>Observation</x:v>
      </x:c>
      <x:c r="D6" s="34" t="n">
        <x:v>46231.3819444444</x:v>
      </x:c>
      <x:c r="E6" s="29" t="n">
        <x:f>ROUND((D6-$D$6)*1440,0)</x:f>
        <x:v>0</x:v>
      </x:c>
      <x:c r="F6" s="16" t="str">
        <x:v>Référence fictive</x:v>
      </x:c>
      <x:c r="G6" s="16" t="str">
        <x:v>À attribuer</x:v>
      </x:c>
      <x:c r="H6" s="29" t="str">
        <x:f>IF(ISNUMBER(D6),"PASS","STOP")</x:f>
        <x:v>PASS</x:v>
      </x:c>
    </x:row>
    <x:row r="7" ht="42" customHeight="1">
      <x:c r="B7" s="16" t="n">
        <x:v>2</x:v>
      </x:c>
      <x:c r="C7" s="16" t="str">
        <x:v>Accusé</x:v>
      </x:c>
      <x:c r="D7" s="34" t="n">
        <x:v>46231.3875</x:v>
      </x:c>
      <x:c r="E7" s="29" t="n">
        <x:f>ROUND((D7-$D$6)*1440,0)</x:f>
        <x:v>8</x:v>
      </x:c>
      <x:c r="F7" s="16" t="str">
        <x:v>Référence fictive</x:v>
      </x:c>
      <x:c r="G7" s="16" t="str">
        <x:v>À attribuer</x:v>
      </x:c>
      <x:c r="H7" s="29" t="str">
        <x:f>IF(AND(ISNUMBER(D7),D7&gt;=D6),"PASS","STOP")</x:f>
        <x:v>PASS</x:v>
      </x:c>
    </x:row>
    <x:row r="8" ht="42" customHeight="1">
      <x:c r="B8" s="16" t="n">
        <x:v>3</x:v>
      </x:c>
      <x:c r="C8" s="16" t="str">
        <x:v>Intervention</x:v>
      </x:c>
      <x:c r="D8" s="34" t="n">
        <x:v>46231.4201388889</x:v>
      </x:c>
      <x:c r="E8" s="29" t="n">
        <x:f>ROUND((D8-$D$6)*1440,0)</x:f>
        <x:v>55</x:v>
      </x:c>
      <x:c r="F8" s="16" t="str">
        <x:v>Référence fictive</x:v>
      </x:c>
      <x:c r="G8" s="16" t="str">
        <x:v>À attribuer</x:v>
      </x:c>
      <x:c r="H8" s="29" t="str">
        <x:f>IF(AND(ISNUMBER(D8),D8&gt;=D7),"PASS","STOP")</x:f>
        <x:v>PASS</x:v>
      </x:c>
    </x:row>
    <x:row r="9" ht="42" customHeight="1">
      <x:c r="B9" s="16" t="n">
        <x:v>4</x:v>
      </x:c>
      <x:c r="C9" s="16" t="str">
        <x:v>Contournement</x:v>
      </x:c>
      <x:c r="D9" s="34" t="n">
        <x:v>46231.4861111111</x:v>
      </x:c>
      <x:c r="E9" s="29" t="n">
        <x:f>ROUND((D9-$D$6)*1440,0)</x:f>
        <x:v>150</x:v>
      </x:c>
      <x:c r="F9" s="16" t="str">
        <x:v>Référence fictive</x:v>
      </x:c>
      <x:c r="G9" s="16" t="str">
        <x:v>À attribuer</x:v>
      </x:c>
      <x:c r="H9" s="29" t="str">
        <x:f>IF(AND(ISNUMBER(D9),D9&gt;=D8),"PASS","STOP")</x:f>
        <x:v>PASS</x:v>
      </x:c>
    </x:row>
    <x:row r="10" ht="42" customHeight="1">
      <x:c r="B10" s="16" t="n">
        <x:v>5</x:v>
      </x:c>
      <x:c r="C10" s="16" t="str">
        <x:v>Rétablissement</x:v>
      </x:c>
      <x:c r="D10" s="34" t="n">
        <x:v>46231.5972222222</x:v>
      </x:c>
      <x:c r="E10" s="29" t="n">
        <x:f>ROUND((D10-$D$6)*1440,0)</x:f>
        <x:v>310</x:v>
      </x:c>
      <x:c r="F10" s="16" t="str">
        <x:v>Référence fictive</x:v>
      </x:c>
      <x:c r="G10" s="16" t="str">
        <x:v>À attribuer</x:v>
      </x:c>
      <x:c r="H10" s="29" t="str">
        <x:f>IF(AND(ISNUMBER(D10),D10&gt;=D9),"PASS","STOP")</x:f>
        <x:v>PASS</x:v>
      </x:c>
    </x:row>
    <x:row r="11" ht="42" customHeight="1">
      <x:c r="B11" s="16" t="n">
        <x:v>6</x:v>
      </x:c>
      <x:c r="C11" s="16" t="str">
        <x:v>Données vérifiées</x:v>
      </x:c>
      <x:c r="D11" s="34" t="n">
        <x:v>46231.6666666667</x:v>
      </x:c>
      <x:c r="E11" s="29" t="n">
        <x:f>ROUND((D11-$D$6)*1440,0)</x:f>
        <x:v>410</x:v>
      </x:c>
      <x:c r="F11" s="16" t="str">
        <x:v>Référence fictive</x:v>
      </x:c>
      <x:c r="G11" s="16" t="str">
        <x:v>À attribuer</x:v>
      </x:c>
      <x:c r="H11" s="29" t="str">
        <x:f>IF(AND(ISNUMBER(D11),D11&gt;=D10),"PASS","STOP")</x:f>
        <x:v>PASS</x:v>
      </x:c>
    </x:row>
    <x:row r="12" ht="42" customHeight="1">
      <x:c r="B12" s="17" t="n">
        <x:v>7</x:v>
      </x:c>
      <x:c r="C12" s="17" t="str">
        <x:v>Clôture</x:v>
      </x:c>
      <x:c r="D12" s="35" t="n">
        <x:v>46231.75</x:v>
      </x:c>
      <x:c r="E12" s="31" t="n">
        <x:f>ROUND((D12-$D$6)*1440,0)</x:f>
        <x:v>530</x:v>
      </x:c>
      <x:c r="F12" s="17" t="str">
        <x:v>Référence fictive</x:v>
      </x:c>
      <x:c r="G12" s="17" t="str">
        <x:v>À attribuer</x:v>
      </x:c>
      <x:c r="H12" s="31" t="str">
        <x:f>IF(AND(ISNUMBER(D12),D12&gt;=D11),"PASS","STOP")</x:f>
        <x:v>PASS</x:v>
      </x:c>
    </x:row>
  </x:sheetData>
  <x:mergeCells>
    <x:mergeCell ref="A1:H2"/>
    <x:mergeCell ref="A3:H3"/>
  </x:mergeCells>
  <x:conditionalFormatting sqref="H6:H12">
    <x:cfRule type="containsText" dxfId="6" priority="1" operator="containsText" text="STOP"/>
    <x:cfRule type="containsText" dxfId="7" priority="2" operator="containsText" text="INCOMPLET"/>
    <x:cfRule type="containsText" dxfId="8" priority="3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8598c09eea074ce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COUT INCIDENT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Coût brut, crédit séparé et exposition nette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Poste</x:v>
      </x:c>
      <x:c r="C5" s="11" t="str">
        <x:v>Valeur</x:v>
      </x:c>
      <x:c r="D5" s="11" t="str">
        <x:v>Unité</x:v>
      </x:c>
      <x:c r="E5" s="11" t="str">
        <x:v>Formule / définition</x:v>
      </x:c>
      <x:c r="F5" s="11" t="str">
        <x:v>Source</x:v>
      </x:c>
      <x:c r="G5" s="11" t="str">
        <x:v>Résultat €</x:v>
      </x:c>
      <x:c r="H5" s="11" t="str">
        <x:v>Statut</x:v>
      </x:c>
    </x:row>
    <x:row r="6" ht="42" customHeight="1">
      <x:c r="B6" s="16" t="str">
        <x:v>Durée</x:v>
      </x:c>
      <x:c r="C6" s="19" t="n">
        <x:v>4.2</x:v>
      </x:c>
      <x:c r="D6" s="16" t="str">
        <x:v>h</x:v>
      </x:c>
      <x:c r="E6" s="16" t="str">
        <x:v>Entrée</x:v>
      </x:c>
      <x:c r="F6" s="16" t="str">
        <x:v>Fixture</x:v>
      </x:c>
      <x:c r="G6" s="29" t="n">
        <x:f>0</x:f>
        <x:v>0</x:v>
      </x:c>
      <x:c r="H6" s="29" t="str">
        <x:f>IF(ISNUMBER(C6),IF(AND(C6&gt;=0,C6&lt;=1000000,ROUND(C6,4)=C6),"PASS","STOP"),"STOP")</x:f>
        <x:v>PASS</x:v>
      </x:c>
    </x:row>
    <x:row r="7" ht="42" customHeight="1">
      <x:c r="B7" s="16" t="str">
        <x:v>Personnes</x:v>
      </x:c>
      <x:c r="C7" s="19" t="n">
        <x:v>12</x:v>
      </x:c>
      <x:c r="D7" s="16" t="str">
        <x:v>personnes</x:v>
      </x:c>
      <x:c r="E7" s="16" t="str">
        <x:v>Entrée</x:v>
      </x:c>
      <x:c r="F7" s="16" t="str">
        <x:v>Fixture</x:v>
      </x:c>
      <x:c r="G7" s="29" t="n">
        <x:f>0</x:f>
        <x:v>0</x:v>
      </x:c>
      <x:c r="H7" s="29" t="str">
        <x:f>IF(ISNUMBER(C7),IF(AND(C7&gt;=0,C7&lt;=100000000,INT(C7)=C7),"PASS","STOP"),"STOP")</x:f>
        <x:v>PASS</x:v>
      </x:c>
    </x:row>
    <x:row r="8" ht="42" customHeight="1">
      <x:c r="B8" s="16" t="str">
        <x:v>Coût chargé</x:v>
      </x:c>
      <x:c r="C8" s="19" t="n">
        <x:v>35</x:v>
      </x:c>
      <x:c r="D8" s="16" t="str">
        <x:v>€/h</x:v>
      </x:c>
      <x:c r="E8" s="16" t="str">
        <x:v>Entrée</x:v>
      </x:c>
      <x:c r="F8" s="16" t="str">
        <x:v>Fixture</x:v>
      </x:c>
      <x:c r="G8" s="29" t="n">
        <x:f>0</x:f>
        <x:v>0</x:v>
      </x:c>
      <x:c r="H8" s="29" t="str">
        <x:f>IF(ISNUMBER(C8),IF(AND(C8&gt;=0,C8&lt;=10000000000,ROUND(C8,4)=C8),"PASS","STOP"),"STOP")</x:f>
        <x:v>PASS</x:v>
      </x:c>
    </x:row>
    <x:row r="9" ht="42" customHeight="1">
      <x:c r="B9" s="16" t="str">
        <x:v>Part détournée</x:v>
      </x:c>
      <x:c r="C9" s="19" t="n">
        <x:v>100</x:v>
      </x:c>
      <x:c r="D9" s="16" t="str">
        <x:v>%</x:v>
      </x:c>
      <x:c r="E9" s="16" t="str">
        <x:v>Entrée</x:v>
      </x:c>
      <x:c r="F9" s="16" t="str">
        <x:v>Fixture</x:v>
      </x:c>
      <x:c r="G9" s="29" t="n">
        <x:f>0</x:f>
        <x:v>0</x:v>
      </x:c>
      <x:c r="H9" s="29" t="str">
        <x:f>IF(ISNUMBER(C9),IF(AND(C9&gt;=0,C9&lt;=100,ROUND(C9,4)=C9),"PASS","STOP"),"STOP")</x:f>
        <x:v>PASS</x:v>
      </x:c>
    </x:row>
    <x:row r="10" ht="42" customHeight="1">
      <x:c r="B10" s="16" t="str">
        <x:v>Rattrapage distinct</x:v>
      </x:c>
      <x:c r="C10" s="19" t="n">
        <x:v>420</x:v>
      </x:c>
      <x:c r="D10" s="16" t="str">
        <x:v>€</x:v>
      </x:c>
      <x:c r="E10" s="16" t="str">
        <x:v>Non inclus ailleurs</x:v>
      </x:c>
      <x:c r="F10" s="16" t="str">
        <x:v>Fixture</x:v>
      </x:c>
      <x:c r="G10" s="29" t="n">
        <x:f>ROUND(C10,2)</x:f>
        <x:v>420</x:v>
      </x:c>
      <x:c r="H10" s="29" t="str">
        <x:f>IF(ISNUMBER(C10),IF(AND(C10&gt;=0,C10&lt;=10000000000,ROUND(C10,4)=C10),"PASS","STOP"),"STOP")</x:f>
        <x:v>PASS</x:v>
      </x:c>
    </x:row>
    <x:row r="11" ht="42" customHeight="1">
      <x:c r="B11" s="16" t="str">
        <x:v>Marge non reportable</x:v>
      </x:c>
      <x:c r="C11" s="19" t="n">
        <x:v>114.2857</x:v>
      </x:c>
      <x:c r="D11" s="16" t="str">
        <x:v>€/h</x:v>
      </x:c>
      <x:c r="E11" s="16" t="str">
        <x:v>Multipliée par la durée ; distincte du CA</x:v>
      </x:c>
      <x:c r="F11" s="16" t="str">
        <x:v>Fixture</x:v>
      </x:c>
      <x:c r="G11" s="29" t="n">
        <x:f>ROUND(C6*C11,2)</x:f>
        <x:v>480</x:v>
      </x:c>
      <x:c r="H11" s="29" t="str">
        <x:f>IF(ISNUMBER(C11),IF(AND(C11&gt;=0,C11&lt;=10000000000,ROUND(C11,4)=C11),"PASS","STOP"),"STOP")</x:f>
        <x:v>PASS</x:v>
      </x:c>
    </x:row>
    <x:row r="12" ht="42" customHeight="1">
      <x:c r="B12" s="16" t="str">
        <x:v>Reprise externe</x:v>
      </x:c>
      <x:c r="C12" s="19" t="n">
        <x:v>900</x:v>
      </x:c>
      <x:c r="D12" s="16" t="str">
        <x:v>€</x:v>
      </x:c>
      <x:c r="E12" s="16" t="str">
        <x:v>Non incluse au forfait</x:v>
      </x:c>
      <x:c r="F12" s="16" t="str">
        <x:v>Fixture</x:v>
      </x:c>
      <x:c r="G12" s="29" t="n">
        <x:f>ROUND(C12,2)</x:f>
        <x:v>900</x:v>
      </x:c>
      <x:c r="H12" s="29" t="str">
        <x:f>IF(ISNUMBER(C12),IF(AND(C12&gt;=0,C12&lt;=10000000000,ROUND(C12,4)=C12),"PASS","STOP"),"STOP")</x:f>
        <x:v>PASS</x:v>
      </x:c>
    </x:row>
    <x:row r="13" ht="42" customHeight="1">
      <x:c r="B13" s="17" t="str">
        <x:v>Crédit de service</x:v>
      </x:c>
      <x:c r="C13" s="20" t="n">
        <x:v>200</x:v>
      </x:c>
      <x:c r="D13" s="17" t="str">
        <x:v>€</x:v>
      </x:c>
      <x:c r="E13" s="17" t="str">
        <x:v>Affiché séparément</x:v>
      </x:c>
      <x:c r="F13" s="17" t="str">
        <x:v>Fixture</x:v>
      </x:c>
      <x:c r="G13" s="31" t="n">
        <x:f>ROUND(C13,2)</x:f>
        <x:v>200</x:v>
      </x:c>
      <x:c r="H13" s="31" t="str">
        <x:f>IF(ISNUMBER(C13),IF(AND(C13&gt;=0,C13&lt;=10000000000,ROUND(C13,4)=C13),"PASS","STOP"),"STOP")</x:f>
        <x:v>PASS</x:v>
      </x:c>
    </x:row>
    <x:row r="15">
      <x:c r="B15" t="str">
        <x:v>TOTAL</x:v>
      </x:c>
      <x:c r="C15" s="38" t="n">
        <x:f>ROUND(C6*C7*C8*C9/100,2)</x:f>
        <x:v>1764</x:v>
      </x:c>
      <x:c r="D15" s="38" t="n">
        <x:f>IF(AND(ISNUMBER(C15),ISNUMBER(G10),ISNUMBER(G11),ISNUMBER(G12)),ROUND(C15+(G10+G11+G12),2),"STOP")</x:f>
        <x:v>3564</x:v>
      </x:c>
      <x:c r="E15" s="38" t="n">
        <x:f>G13</x:f>
        <x:v>200</x:v>
      </x:c>
      <x:c r="F15" s="38" t="n">
        <x:f>IF(AND(ISNUMBER(D15),ISNUMBER(E15)),IF(D15&gt;=E15,ROUND(D15-E15,2),"STOP"),"STOP")</x:f>
        <x:v>3364</x:v>
      </x:c>
      <x:c r="G15" t="str"/>
      <x:c r="H15" t="str"/>
    </x:row>
  </x:sheetData>
  <x:mergeCells>
    <x:mergeCell ref="A1:H2"/>
    <x:mergeCell ref="A3:H3"/>
  </x:mergeCells>
  <x:conditionalFormatting sqref="H6:H13">
    <x:cfRule type="containsText" dxfId="9" priority="1" operator="containsText" text="STOP"/>
    <x:cfRule type="containsText" dxfId="10" priority="2" operator="containsText" text="INCOMPLET"/>
    <x:cfRule type="containsText" dxfId="11" priority="3" operator="containsText" text="PASS"/>
  </x:conditionalFormatting>
  <x:dataValidations count="5">
    <x:dataValidation type="decimal" operator="between" sqref="C6">
      <x:formula1>0</x:formula1>
      <x:formula2>1000000</x:formula2>
    </x:dataValidation>
    <x:dataValidation operator="between" sqref="C7">
      <x:formula1>0</x:formula1>
      <x:formula2>100000000</x:formula2>
    </x:dataValidation>
    <x:dataValidation type="decimal" operator="between" sqref="C8">
      <x:formula1>0</x:formula1>
      <x:formula2>10000000000</x:formula2>
    </x:dataValidation>
    <x:dataValidation type="decimal" operator="between" sqref="C10:C13">
      <x:formula1>0</x:formula1>
      <x:formula2>10000000000</x:formula2>
    </x:dataValidation>
    <x:dataValidation type="decimal" operator="between" sqref="C9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b3e40e263df4f9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RPO OPERATIONS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RPO traduit en opérations, ressaisie et coût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Parcours</x:v>
      </x:c>
      <x:c r="C5" s="11" t="str">
        <x:v>Opérations/h</x:v>
      </x:c>
      <x:c r="D5" s="11" t="str">
        <x:v>RPO h</x:v>
      </x:c>
      <x:c r="E5" s="11" t="str">
        <x:v>Minutes/op</x:v>
      </x:c>
      <x:c r="F5" s="11" t="str">
        <x:v>Coût €/h</x:v>
      </x:c>
      <x:c r="G5" s="11" t="str">
        <x:v>Opérations à risque</x:v>
      </x:c>
      <x:c r="H5" s="11" t="str">
        <x:v>Coût de ressaisie €</x:v>
      </x:c>
    </x:row>
    <x:row r="6" ht="42" customHeight="1">
      <x:c r="B6" s="16" t="str">
        <x:v>Facturation fictive</x:v>
      </x:c>
      <x:c r="C6" s="19" t="n">
        <x:v>40</x:v>
      </x:c>
      <x:c r="D6" s="19" t="n">
        <x:v>1.5</x:v>
      </x:c>
      <x:c r="E6" s="19" t="n">
        <x:v>4</x:v>
      </x:c>
      <x:c r="F6" s="19" t="n">
        <x:v>35</x:v>
      </x:c>
      <x:c r="G6" s="29" t="n">
        <x:f>IF(AND(ISNUMBER(C6),ISNUMBER(D6)),IF(AND(C6&gt;=0,D6&gt;=0,C6&lt;=100000000,D6&lt;=1000000,ROUND(C6,4)=C6,ROUND(D6,4)=D6),C6*D6,"STOP"),"STOP")</x:f>
        <x:v>60</x:v>
      </x:c>
      <x:c r="H6" s="29" t="n">
        <x:f>IF(AND(ISNUMBER(G6),ISNUMBER(E6),ISNUMBER(F6)),IF(AND(E6&gt;=0,F6&gt;=0,E6&lt;=1440,F6&lt;=10000000000,ROUND(E6,4)=E6,ROUND(F6,4)=F6),ROUND(G6*E6/60*F6,2),"STOP"),"STOP")</x:f>
        <x:v>140</x:v>
      </x:c>
    </x:row>
    <x:row r="7" ht="42" customHeight="1">
      <x:c r="B7" s="16" t="str">
        <x:v>Commandes fictives</x:v>
      </x:c>
      <x:c r="C7" s="19" t="n">
        <x:v>25</x:v>
      </x:c>
      <x:c r="D7" s="19" t="n">
        <x:v>1</x:v>
      </x:c>
      <x:c r="E7" s="19" t="n">
        <x:v>6</x:v>
      </x:c>
      <x:c r="F7" s="19" t="n">
        <x:v>35</x:v>
      </x:c>
      <x:c r="G7" s="29" t="n">
        <x:f>IF(AND(ISNUMBER(C7),ISNUMBER(D7)),IF(AND(C7&gt;=0,D7&gt;=0,C7&lt;=100000000,D7&lt;=1000000,ROUND(C7,4)=C7,ROUND(D7,4)=D7),C7*D7,"STOP"),"STOP")</x:f>
        <x:v>25</x:v>
      </x:c>
      <x:c r="H7" s="29" t="n">
        <x:f>IF(AND(ISNUMBER(G7),ISNUMBER(E7),ISNUMBER(F7)),IF(AND(E7&gt;=0,F7&gt;=0,E7&lt;=1440,F7&lt;=10000000000,ROUND(E7,4)=E7,ROUND(F7,4)=F7),ROUND(G7*E7/60*F7,2),"STOP"),"STOP")</x:f>
        <x:v>87.5</x:v>
      </x:c>
    </x:row>
    <x:row r="8" ht="42" customHeight="1">
      <x:c r="B8" s="17" t="str">
        <x:v>Interventions fictives</x:v>
      </x:c>
      <x:c r="C8" s="20" t="n">
        <x:v>10</x:v>
      </x:c>
      <x:c r="D8" s="20" t="n">
        <x:v>2</x:v>
      </x:c>
      <x:c r="E8" s="20" t="n">
        <x:v>8</x:v>
      </x:c>
      <x:c r="F8" s="20" t="n">
        <x:v>35</x:v>
      </x:c>
      <x:c r="G8" s="31" t="n">
        <x:f>IF(AND(ISNUMBER(C8),ISNUMBER(D8)),IF(AND(C8&gt;=0,D8&gt;=0,C8&lt;=100000000,D8&lt;=1000000,ROUND(C8,4)=C8,ROUND(D8,4)=D8),C8*D8,"STOP"),"STOP")</x:f>
        <x:v>20</x:v>
      </x:c>
      <x:c r="H8" s="31" t="n">
        <x:f>IF(AND(ISNUMBER(G8),ISNUMBER(E8),ISNUMBER(F8)),IF(AND(E8&gt;=0,F8&gt;=0,E8&lt;=1440,F8&lt;=10000000000,ROUND(E8,4)=E8,ROUND(F8,4)=F8),ROUND(G8*E8/60*F8,2),"STOP"),"STOP")</x:f>
        <x:v>93.33</x:v>
      </x:c>
    </x:row>
  </x:sheetData>
  <x:mergeCells>
    <x:mergeCell ref="A1:H2"/>
    <x:mergeCell ref="A3:H3"/>
  </x:mergeCells>
  <x:dataValidations count="4">
    <x:dataValidation type="decimal" operator="between" sqref="C6:C8">
      <x:formula1>0</x:formula1>
      <x:formula2>100000000</x:formula2>
    </x:dataValidation>
    <x:dataValidation type="decimal" operator="between" sqref="D6:D8">
      <x:formula1>0</x:formula1>
      <x:formula2>1000000</x:formula2>
    </x:dataValidation>
    <x:dataValidation type="decimal" operator="between" sqref="E6:E8">
      <x:formula1>0</x:formula1>
      <x:formula2>1440</x:formula2>
    </x:dataValidation>
    <x:dataValidation type="decimal" operator="between" sqref="F6:F8">
      <x:formula1>0</x:formula1>
      <x:formula2>10000000000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f48dbed39ea454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DEPENDANCES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Fournisseurs, comptes, contrats et modes dégradés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Dépendance</x:v>
      </x:c>
      <x:c r="D5" s="11" t="str">
        <x:v>Parcours</x:v>
      </x:c>
      <x:c r="E5" s="11" t="str">
        <x:v>Propriétaire</x:v>
      </x:c>
      <x:c r="F5" s="11" t="str">
        <x:v>Contrat</x:v>
      </x:c>
      <x:c r="G5" s="11" t="str">
        <x:v>Escalade</x:v>
      </x:c>
      <x:c r="H5" s="11" t="str">
        <x:v>Mode dégradé</x:v>
      </x:c>
      <x:c r="I5" s="11" t="str">
        <x:v>Statut</x:v>
      </x:c>
    </x:row>
    <x:row r="6" ht="60" customHeight="1">
      <x:c r="B6" s="16" t="str">
        <x:v>D01</x:v>
      </x:c>
      <x:c r="C6" s="19" t="str">
        <x:v>Hébergement</x:v>
      </x:c>
      <x:c r="D6" s="19" t="str">
        <x:v>Facturation</x:v>
      </x:c>
      <x:c r="E6" s="19" t="str">
        <x:v>Compte client</x:v>
      </x:c>
      <x:c r="F6" s="19" t="str">
        <x:v>Support fictif</x:v>
      </x:c>
      <x:c r="G6" s="19" t="str">
        <x:v>Ticket prioritaire</x:v>
      </x:c>
      <x:c r="H6" s="19" t="str">
        <x:v>Export + repli</x:v>
      </x:c>
      <x:c r="I6" s="19" t="str">
        <x:v>DECLARE</x:v>
      </x:c>
    </x:row>
    <x:row r="7" ht="60" customHeight="1">
      <x:c r="B7" s="16" t="str">
        <x:v>D02</x:v>
      </x:c>
      <x:c r="C7" s="19" t="str">
        <x:v>Base de données</x:v>
      </x:c>
      <x:c r="D7" s="19" t="str">
        <x:v>Tous parcours</x:v>
      </x:c>
      <x:c r="E7" s="19" t="str">
        <x:v>Compte client</x:v>
      </x:c>
      <x:c r="F7" s="19" t="str">
        <x:v>Support fictif</x:v>
      </x:c>
      <x:c r="G7" s="19" t="str">
        <x:v>Canal urgence</x:v>
      </x:c>
      <x:c r="H7" s="19" t="str">
        <x:v>Restore isolé</x:v>
      </x:c>
      <x:c r="I7" s="19" t="str">
        <x:v>DECLARE</x:v>
      </x:c>
    </x:row>
    <x:row r="8" ht="60" customHeight="1">
      <x:c r="B8" s="16" t="str">
        <x:v>D03</x:v>
      </x:c>
      <x:c r="C8" s="19" t="str">
        <x:v>Identité</x:v>
      </x:c>
      <x:c r="D8" s="19" t="str">
        <x:v>Connexion</x:v>
      </x:c>
      <x:c r="E8" s="19" t="str">
        <x:v>Compte client</x:v>
      </x:c>
      <x:c r="F8" s="19" t="str">
        <x:v>Support fictif</x:v>
      </x:c>
      <x:c r="G8" s="19" t="str">
        <x:v>Canal urgence</x:v>
      </x:c>
      <x:c r="H8" s="19" t="str">
        <x:v>Compte break-glass</x:v>
      </x:c>
      <x:c r="I8" s="19" t="str">
        <x:v>DECLARE</x:v>
      </x:c>
    </x:row>
    <x:row r="9" ht="60" customHeight="1">
      <x:c r="B9" s="16" t="str">
        <x:v>D04</x:v>
      </x:c>
      <x:c r="C9" s="19" t="str">
        <x:v>Messagerie</x:v>
      </x:c>
      <x:c r="D9" s="19" t="str">
        <x:v>Factures</x:v>
      </x:c>
      <x:c r="E9" s="19" t="str">
        <x:v>Compte client</x:v>
      </x:c>
      <x:c r="F9" s="19" t="str">
        <x:v>Support fictif</x:v>
      </x:c>
      <x:c r="G9" s="19" t="str">
        <x:v>Ticket</x:v>
      </x:c>
      <x:c r="H9" s="19" t="str">
        <x:v>File + renvoi</x:v>
      </x:c>
      <x:c r="I9" s="19" t="str">
        <x:v>DECLARE</x:v>
      </x:c>
    </x:row>
    <x:row r="10" ht="60" customHeight="1">
      <x:c r="B10" s="17" t="str">
        <x:v>D05</x:v>
      </x:c>
      <x:c r="C10" s="20" t="str">
        <x:v>Paiement</x:v>
      </x:c>
      <x:c r="D10" s="20" t="str">
        <x:v>Commandes</x:v>
      </x:c>
      <x:c r="E10" s="20" t="str">
        <x:v>Compte client</x:v>
      </x:c>
      <x:c r="F10" s="20" t="str">
        <x:v>Support fictif</x:v>
      </x:c>
      <x:c r="G10" s="20" t="str">
        <x:v>Ticket</x:v>
      </x:c>
      <x:c r="H10" s="20" t="str">
        <x:v>Mode différé</x:v>
      </x:c>
      <x:c r="I10" s="20" t="str">
        <x:v>DECLARE</x:v>
      </x:c>
    </x:row>
  </x:sheetData>
  <x:mergeCells>
    <x:mergeCell ref="A1:H2"/>
    <x:mergeCell ref="A3:H3"/>
  </x:mergeCells>
  <x:dataValidations count="1">
    <x:dataValidation type="list" sqref="I6:I10">
      <x:formula1>"ND,DECLARE,VERIFIE,ECHEC,NA"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2e89a005d46ad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COUVERTURES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Trois options fictives, hypothèses et risque résiduel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Option</x:v>
      </x:c>
      <x:c r="D5" s="11" t="str">
        <x:v>Transition €</x:v>
      </x:c>
      <x:c r="E5" s="11" t="str">
        <x:v>Mensuel €</x:v>
      </x:c>
      <x:c r="F5" s="11" t="str">
        <x:v>Interne h/mois</x:v>
      </x:c>
      <x:c r="G5" s="11" t="str">
        <x:v>Coût interne €/h</x:v>
      </x:c>
      <x:c r="H5" s="11" t="str">
        <x:v>Exercices €/an</x:v>
      </x:c>
      <x:c r="I5" s="11" t="str">
        <x:v>Incidents/an</x:v>
      </x:c>
      <x:c r="J5" s="11" t="str">
        <x:v>Coût/incident €</x:v>
      </x:c>
      <x:c r="K5" s="11" t="str">
        <x:v>Source résiduelle</x:v>
      </x:c>
      <x:c r="L5" s="11" t="str">
        <x:v>Date</x:v>
      </x:c>
    </x:row>
    <x:row r="6" ht="56" customHeight="1">
      <x:c r="B6" s="16" t="str">
        <x:v>A</x:v>
      </x:c>
      <x:c r="C6" s="16" t="str">
        <x:v>Heures ouvrées</x:v>
      </x:c>
      <x:c r="D6" s="19" t="n">
        <x:v>5000</x:v>
      </x:c>
      <x:c r="E6" s="19" t="n">
        <x:v>1200</x:v>
      </x:c>
      <x:c r="F6" s="19" t="n">
        <x:v>4</x:v>
      </x:c>
      <x:c r="G6" s="19" t="n">
        <x:v>47</x:v>
      </x:c>
      <x:c r="H6" s="19" t="n">
        <x:v>2000</x:v>
      </x:c>
      <x:c r="I6" s="19" t="n">
        <x:v>2</x:v>
      </x:c>
      <x:c r="J6" s="19" t="n">
        <x:v>4000</x:v>
      </x:c>
      <x:c r="K6" s="19" t="str">
        <x:v>Hypothèse fictive A</x:v>
      </x:c>
      <x:c r="L6" s="21" t="n">
        <x:v>46231</x:v>
      </x:c>
    </x:row>
    <x:row r="7" ht="56" customHeight="1">
      <x:c r="B7" s="16" t="str">
        <x:v>B</x:v>
      </x:c>
      <x:c r="C7" s="16" t="str">
        <x:v>Plage étendue</x:v>
      </x:c>
      <x:c r="D7" s="19" t="n">
        <x:v>4000</x:v>
      </x:c>
      <x:c r="E7" s="19" t="n">
        <x:v>1650</x:v>
      </x:c>
      <x:c r="F7" s="19" t="n">
        <x:v>3</x:v>
      </x:c>
      <x:c r="G7" s="19" t="n">
        <x:v>47</x:v>
      </x:c>
      <x:c r="H7" s="19" t="n">
        <x:v>2500</x:v>
      </x:c>
      <x:c r="I7" s="19" t="n">
        <x:v>1</x:v>
      </x:c>
      <x:c r="J7" s="19" t="n">
        <x:v>5836</x:v>
      </x:c>
      <x:c r="K7" s="19" t="str">
        <x:v>Hypothèse fictive B</x:v>
      </x:c>
      <x:c r="L7" s="21" t="n">
        <x:v>46231</x:v>
      </x:c>
    </x:row>
    <x:row r="8" ht="56" customHeight="1">
      <x:c r="B8" s="17" t="str">
        <x:v>C</x:v>
      </x:c>
      <x:c r="C8" s="17" t="str">
        <x:v>Continuité renforcée</x:v>
      </x:c>
      <x:c r="D8" s="20" t="n">
        <x:v>8000</x:v>
      </x:c>
      <x:c r="E8" s="20" t="n">
        <x:v>3200</x:v>
      </x:c>
      <x:c r="F8" s="20" t="n">
        <x:v>2</x:v>
      </x:c>
      <x:c r="G8" s="20" t="n">
        <x:v>47</x:v>
      </x:c>
      <x:c r="H8" s="20" t="n">
        <x:v>4000</x:v>
      </x:c>
      <x:c r="I8" s="20" t="n">
        <x:v>0.5</x:v>
      </x:c>
      <x:c r="J8" s="20" t="n">
        <x:v>3672</x:v>
      </x:c>
      <x:c r="K8" s="20" t="str">
        <x:v>Hypothèse fictive C</x:v>
      </x:c>
      <x:c r="L8" s="39" t="n">
        <x:v>46231</x:v>
      </x:c>
    </x:row>
  </x:sheetData>
  <x:mergeCells>
    <x:mergeCell ref="A1:H2"/>
    <x:mergeCell ref="A3:H3"/>
  </x:mergeCells>
  <x:dataValidations count="2">
    <x:dataValidation type="decimal" operator="between" sqref="D6:J8">
      <x:formula1>0</x:formula1>
      <x:formula2>10000000000</x:formula2>
    </x:dataValidation>
    <x:dataValidation type="decimal" operator="between" sqref="L6:L8">
      <x:formula1>1</x:formula1>
      <x:formula2>46231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0669c1f83c844e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COMPARAISON 12 MOIS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Comparaison annuelle au même périmètre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Option</x:v>
      </x:c>
      <x:c r="C5" s="11" t="str">
        <x:v>Contrat annuel €</x:v>
      </x:c>
      <x:c r="D5" s="11" t="str">
        <x:v>Interne annuel €</x:v>
      </x:c>
      <x:c r="E5" s="11" t="str">
        <x:v>Résiduel annuel €</x:v>
      </x:c>
      <x:c r="F5" s="11" t="str">
        <x:v>Total annuel €</x:v>
      </x:c>
      <x:c r="G5" s="11" t="str">
        <x:v>Rang coût</x:v>
      </x:c>
      <x:c r="H5" s="11" t="str">
        <x:v>Décision</x:v>
      </x:c>
    </x:row>
    <x:row r="6" ht="42" customHeight="1">
      <x:c r="B6" s="16" t="str">
        <x:v>Heures ouvrées</x:v>
      </x:c>
      <x:c r="C6" s="29" t="n">
        <x:f>ROUND('COUVERTURES'!D6+'COUVERTURES'!E6*12+'COUVERTURES'!H6,2)</x:f>
        <x:v>21400</x:v>
      </x:c>
      <x:c r="D6" s="29" t="n">
        <x:f>ROUND('COUVERTURES'!F6*'COUVERTURES'!G6*12,2)</x:f>
        <x:v>2256</x:v>
      </x:c>
      <x:c r="E6" s="29" t="n">
        <x:f>ROUND('COUVERTURES'!I6*'COUVERTURES'!J6,2)</x:f>
        <x:v>8000</x:v>
      </x:c>
      <x:c r="F6" s="29" t="n">
        <x:f>ROUND(SUM(C6:E6),2)</x:f>
        <x:v>31656</x:v>
      </x:c>
      <x:c r="G6" s="29" t="n">
        <x:f>RANK(F6,$F$6:$F$8,1)</x:f>
        <x:v>1</x:v>
      </x:c>
      <x:c r="H6" s="29" t="str">
        <x:f>IF(COUNT('COUVERTURES'!D6:J6)=7,IF(AND(MIN('COUVERTURES'!D6:J6)&gt;=0,MAX('COUVERTURES'!D6:J6)&lt;=10000000000,ROUND('COUVERTURES'!D6,4)='COUVERTURES'!D6,ROUND('COUVERTURES'!E6,4)='COUVERTURES'!E6,ROUND('COUVERTURES'!F6,4)='COUVERTURES'!F6,ROUND('COUVERTURES'!G6,4)='COUVERTURES'!G6,ROUND('COUVERTURES'!H6,4)='COUVERTURES'!H6,ROUND('COUVERTURES'!I6,4)='COUVERTURES'!I6,ROUND('COUVERTURES'!J6,4)='COUVERTURES'!J6,IF(ISTEXT('COUVERTURES'!B6),AND(LEN('COUVERTURES'!B6)&gt;=1,LEN('COUVERTURES'!B6)&lt;=64,TRIM(CLEAN('COUVERTURES'!B6))='COUVERTURES'!B6,LEN('COUVERTURES'!B6)=LEN(SUBSTITUTE('COUVERTURES'!B6," ","")),COUNTIF('COUVERTURES'!$B$6:$B$8,'COUVERTURES'!B6)=1),FALSE),LEN(TRIM('COUVERTURES'!C6))&gt;=2,LEN(TRIM('COUVERTURES'!K6))&gt;=5,ISNUMBER('COUVERTURES'!L6)),IF(AND(INT('COUVERTURES'!L6)='COUVERTURES'!L6,'COUVERTURES'!L6&gt;0,'COUVERTURES'!L6&lt;='LIRE_D_ABORD'!$C$11),"PASS","INCOMPLET"),"INCOMPLET"),"INCOMPLET")</x:f>
        <x:v>PASS</x:v>
      </x:c>
    </x:row>
    <x:row r="7" ht="42" customHeight="1">
      <x:c r="B7" s="16" t="str">
        <x:v>Plage étendue</x:v>
      </x:c>
      <x:c r="C7" s="29" t="n">
        <x:f>ROUND('COUVERTURES'!D7+'COUVERTURES'!E7*12+'COUVERTURES'!H7,2)</x:f>
        <x:v>26300</x:v>
      </x:c>
      <x:c r="D7" s="29" t="n">
        <x:f>ROUND('COUVERTURES'!F7*'COUVERTURES'!G7*12,2)</x:f>
        <x:v>1692</x:v>
      </x:c>
      <x:c r="E7" s="29" t="n">
        <x:f>ROUND('COUVERTURES'!I7*'COUVERTURES'!J7,2)</x:f>
        <x:v>5836</x:v>
      </x:c>
      <x:c r="F7" s="29" t="n">
        <x:f>ROUND(SUM(C7:E7),2)</x:f>
        <x:v>33828</x:v>
      </x:c>
      <x:c r="G7" s="29" t="n">
        <x:f>RANK(F7,$F$6:$F$8,1)</x:f>
        <x:v>2</x:v>
      </x:c>
      <x:c r="H7" s="29" t="str">
        <x:f>IF(COUNT('COUVERTURES'!D7:J7)=7,IF(AND(MIN('COUVERTURES'!D7:J7)&gt;=0,MAX('COUVERTURES'!D7:J7)&lt;=10000000000,ROUND('COUVERTURES'!D7,4)='COUVERTURES'!D7,ROUND('COUVERTURES'!E7,4)='COUVERTURES'!E7,ROUND('COUVERTURES'!F7,4)='COUVERTURES'!F7,ROUND('COUVERTURES'!G7,4)='COUVERTURES'!G7,ROUND('COUVERTURES'!H7,4)='COUVERTURES'!H7,ROUND('COUVERTURES'!I7,4)='COUVERTURES'!I7,ROUND('COUVERTURES'!J7,4)='COUVERTURES'!J7,IF(ISTEXT('COUVERTURES'!B7),AND(LEN('COUVERTURES'!B7)&gt;=1,LEN('COUVERTURES'!B7)&lt;=64,TRIM(CLEAN('COUVERTURES'!B7))='COUVERTURES'!B7,LEN('COUVERTURES'!B7)=LEN(SUBSTITUTE('COUVERTURES'!B7," ","")),COUNTIF('COUVERTURES'!$B$6:$B$8,'COUVERTURES'!B7)=1),FALSE),LEN(TRIM('COUVERTURES'!C7))&gt;=2,LEN(TRIM('COUVERTURES'!K7))&gt;=5,ISNUMBER('COUVERTURES'!L7)),IF(AND(INT('COUVERTURES'!L7)='COUVERTURES'!L7,'COUVERTURES'!L7&gt;0,'COUVERTURES'!L7&lt;='LIRE_D_ABORD'!$C$11),"PASS","INCOMPLET"),"INCOMPLET"),"INCOMPLET")</x:f>
        <x:v>PASS</x:v>
      </x:c>
    </x:row>
    <x:row r="8" ht="42" customHeight="1">
      <x:c r="B8" s="17" t="str">
        <x:v>Continuité renforcée</x:v>
      </x:c>
      <x:c r="C8" s="31" t="n">
        <x:f>ROUND('COUVERTURES'!D8+'COUVERTURES'!E8*12+'COUVERTURES'!H8,2)</x:f>
        <x:v>50400</x:v>
      </x:c>
      <x:c r="D8" s="31" t="n">
        <x:f>ROUND('COUVERTURES'!F8*'COUVERTURES'!G8*12,2)</x:f>
        <x:v>1128</x:v>
      </x:c>
      <x:c r="E8" s="31" t="n">
        <x:f>ROUND('COUVERTURES'!I8*'COUVERTURES'!J8,2)</x:f>
        <x:v>1836</x:v>
      </x:c>
      <x:c r="F8" s="31" t="n">
        <x:f>ROUND(SUM(C8:E8),2)</x:f>
        <x:v>53364</x:v>
      </x:c>
      <x:c r="G8" s="31" t="n">
        <x:f>RANK(F8,$F$6:$F$8,1)</x:f>
        <x:v>3</x:v>
      </x:c>
      <x:c r="H8" s="31" t="str">
        <x:f>IF(COUNT('COUVERTURES'!D8:J8)=7,IF(AND(MIN('COUVERTURES'!D8:J8)&gt;=0,MAX('COUVERTURES'!D8:J8)&lt;=10000000000,ROUND('COUVERTURES'!D8,4)='COUVERTURES'!D8,ROUND('COUVERTURES'!E8,4)='COUVERTURES'!E8,ROUND('COUVERTURES'!F8,4)='COUVERTURES'!F8,ROUND('COUVERTURES'!G8,4)='COUVERTURES'!G8,ROUND('COUVERTURES'!H8,4)='COUVERTURES'!H8,ROUND('COUVERTURES'!I8,4)='COUVERTURES'!I8,ROUND('COUVERTURES'!J8,4)='COUVERTURES'!J8,IF(ISTEXT('COUVERTURES'!B8),AND(LEN('COUVERTURES'!B8)&gt;=1,LEN('COUVERTURES'!B8)&lt;=64,TRIM(CLEAN('COUVERTURES'!B8))='COUVERTURES'!B8,LEN('COUVERTURES'!B8)=LEN(SUBSTITUTE('COUVERTURES'!B8," ","")),COUNTIF('COUVERTURES'!$B$6:$B$8,'COUVERTURES'!B8)=1),FALSE),LEN(TRIM('COUVERTURES'!C8))&gt;=2,LEN(TRIM('COUVERTURES'!K8))&gt;=5,ISNUMBER('COUVERTURES'!L8)),IF(AND(INT('COUVERTURES'!L8)='COUVERTURES'!L8,'COUVERTURES'!L8&gt;0,'COUVERTURES'!L8&lt;='LIRE_D_ABORD'!$C$11),"PASS","INCOMPLET"),"INCOMPLET"),"INCOMPLET")</x:f>
        <x:v>PASS</x:v>
      </x:c>
    </x:row>
  </x:sheetData>
  <x:mergeCells>
    <x:mergeCell ref="A1:H2"/>
    <x:mergeCell ref="A3:H3"/>
  </x:mergeCells>
  <x:conditionalFormatting sqref="H6:H8">
    <x:cfRule type="containsText" dxfId="12" priority="1" operator="containsText" text="STOP"/>
    <x:cfRule type="containsText" dxfId="13" priority="2" operator="containsText" text="INCOMPLET"/>
    <x:cfRule type="containsText" dxfId="14" priority="3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c6561e37e4dc4cb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  <x:selection pane="bottomRigh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EXERCICES PREUVES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Huit preuves, statuts, artefacts et exercices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Domaine</x:v>
      </x:c>
      <x:c r="D5" s="11" t="str">
        <x:v>Attendu</x:v>
      </x:c>
      <x:c r="E5" s="11" t="str">
        <x:v>Preuves admissibles</x:v>
      </x:c>
      <x:c r="F5" s="11" t="str">
        <x:v>Sources</x:v>
      </x:c>
      <x:c r="G5" s="11" t="str">
        <x:v>Statut</x:v>
      </x:c>
      <x:c r="H5" s="11" t="str">
        <x:v>Référence</x:v>
      </x:c>
      <x:c r="I5" s="11" t="str">
        <x:v>Date</x:v>
      </x:c>
      <x:c r="J5" s="11" t="str">
        <x:v>Responsable</x:v>
      </x:c>
    </x:row>
    <x:row r="6" ht="92" customHeight="1">
      <x:c r="B6" s="16" t="str">
        <x:v>service-scope</x:v>
      </x:c>
      <x:c r="C6" s="16" t="str">
        <x:v>Service et parcours métier couverts</x:v>
      </x:c>
      <x:c r="D6" s="16" t="str">
        <x:v>Le service, les parcours critiques, les utilisateurs, les fonctions dégradées, les environnements et la preuve de service rendu sont décrits sans se limiter à un statut technique.</x:v>
      </x:c>
      <x:c r="E6" s="16" t="str">
        <x:v>cartographie approuvée des parcours et dépendances | SLI calculable depuis une source de mesure nommée | recette métier datée du parcours nominal et du mode dégradé</x:v>
      </x:c>
      <x:c r="F6" s="16" t="str">
        <x:v>GOOGLE-SRE-SLO | GOOGLE-MAPS-SLA | ISO-20000-1</x:v>
      </x:c>
      <x:c r="G6" s="19" t="str">
        <x:v>DECLARE</x:v>
      </x:c>
      <x:c r="H6" s="19" t="str">
        <x:v>Référence fictive</x:v>
      </x:c>
      <x:c r="I6" s="21" t="n">
        <x:v>46231</x:v>
      </x:c>
      <x:c r="J6" s="19" t="str">
        <x:v>À attribuer</x:v>
      </x:c>
    </x:row>
    <x:row r="7" ht="92" customHeight="1">
      <x:c r="B7" s="16" t="str">
        <x:v>coverage-window</x:v>
      </x:c>
      <x:c r="C7" s="16" t="str">
        <x:v>Plage de couverture et règles du chronomètre</x:v>
      </x:c>
      <x:c r="D7" s="16" t="str">
        <x:v>Jours, heures, fuseau, jours fériés, canaux, minimum du ticket, début, fin, pauses, exclusions et astreintes client et prestataire sont écrits.</x:v>
      </x:c>
      <x:c r="E7" s="16" t="str">
        <x:v>calendrier contractuel versionné | règles de chevauchement et de pause testées sur des cas limites | matrice d’escalade avec rôles et moyens de contact contrôlés</x:v>
      </x:c>
      <x:c r="F7" s="16" t="str">
        <x:v>GOOGLE-MAPS-SLA | ISO-20000-1 | LEGIFRANCE-1103</x:v>
      </x:c>
      <x:c r="G7" s="19" t="str">
        <x:v>DECLARE</x:v>
      </x:c>
      <x:c r="H7" s="19" t="str">
        <x:v>Référence fictive</x:v>
      </x:c>
      <x:c r="I7" s="21" t="n">
        <x:v>46231</x:v>
      </x:c>
      <x:c r="J7" s="19" t="str">
        <x:v>À attribuer</x:v>
      </x:c>
    </x:row>
    <x:row r="8" ht="92" customHeight="1">
      <x:c r="B8" s="16" t="str">
        <x:v>measurement</x:v>
      </x:c>
      <x:c r="C8" s="16" t="str">
        <x:v>Mesure de disponibilité et provenance</x:v>
      </x:c>
      <x:c r="D8" s="16" t="str">
        <x:v>Période, dénominateur, événements comptés, défaillances partielles, maintenances, exclusions, source, propriétaire, rétention et méthode de contestation sont fixés avant le taux.</x:v>
      </x:c>
      <x:c r="E8" s="16" t="str">
        <x:v>requête ou calcul reproductible sur données horodatées | échantillon réconcilié entre mesure technique et parcours utilisateur | rapport mensuel conservant numérateur, dénominateur et exclusions</x:v>
      </x:c>
      <x:c r="F8" s="16" t="str">
        <x:v>GOOGLE-SRE-SLO | GOOGLE-MAPS-SLA | ISO-20000-1</x:v>
      </x:c>
      <x:c r="G8" s="19" t="str">
        <x:v>DECLARE</x:v>
      </x:c>
      <x:c r="H8" s="19" t="str">
        <x:v>Référence fictive</x:v>
      </x:c>
      <x:c r="I8" s="21" t="n">
        <x:v>46231</x:v>
      </x:c>
      <x:c r="J8" s="19" t="str">
        <x:v>À attribuer</x:v>
      </x:c>
    </x:row>
    <x:row r="9" ht="92" customHeight="1">
      <x:c r="B9" s="16" t="str">
        <x:v>incident-clock</x:v>
      </x:c>
      <x:c r="C9" s="16" t="str">
        <x:v>Sept horloges de l’incident</x:v>
      </x:c>
      <x:c r="D9" s="16" t="str">
        <x:v>Observation, accusé, intervention qualifiée, contournement, rétablissement, vérification des données et clôture sont horodatés séparément avec un fuseau explicite.</x:v>
      </x:c>
      <x:c r="E9" s="16" t="str">
        <x:v>journal d’incident immuable ou export horodaté | tickets, alertes et changements réconciliés | chronologie relue par métier, exploitation et prestataire</x:v>
      </x:c>
      <x:c r="F9" s="16" t="str">
        <x:v>ISO-20000-1 | UK-SOFTWARE-CODE-2026 | NCSC-APC</x:v>
      </x:c>
      <x:c r="G9" s="19" t="str">
        <x:v>DECLARE</x:v>
      </x:c>
      <x:c r="H9" s="19" t="str">
        <x:v>Référence fictive</x:v>
      </x:c>
      <x:c r="I9" s="21" t="n">
        <x:v>46231</x:v>
      </x:c>
      <x:c r="J9" s="19" t="str">
        <x:v>À attribuer</x:v>
      </x:c>
    </x:row>
    <x:row r="10" ht="92" customHeight="1">
      <x:c r="B10" s="16" t="str">
        <x:v>restoration-test</x:v>
      </x:c>
      <x:c r="C10" s="16" t="str">
        <x:v>RTO, RPO et restauration réellement testés</x:v>
      </x:c>
      <x:c r="D10" s="16" t="str">
        <x:v>RTO et RPO proviennent de l’impact métier ; sauvegarde, restauration isolée, cohérence, opérations à ressaisir, durée et responsables ont été éprouvés.</x:v>
      </x:c>
      <x:c r="E10" s="16" t="str">
        <x:v>procès-verbal daté d’une restauration sur environnement isolé | RTO et RPO mesurés comparés aux objectifs par parcours | comptages, relations et échantillons métier réconciliés après reprise</x:v>
      </x:c>
      <x:c r="F10" s="16" t="str">
        <x:v>NIST-RTO | NIST-RPO | ANSSI-BACKUP-2025 | BSI-BACKUP | DORA-ART11-12 | ISO-27031-2025 | ISO-22301 | ASD-ESSENTIAL-EIGHT</x:v>
      </x:c>
      <x:c r="G10" s="19" t="str">
        <x:v>DECLARE</x:v>
      </x:c>
      <x:c r="H10" s="19" t="str">
        <x:v>Référence fictive</x:v>
      </x:c>
      <x:c r="I10" s="21" t="n">
        <x:v>46231</x:v>
      </x:c>
      <x:c r="J10" s="19" t="str">
        <x:v>À attribuer</x:v>
      </x:c>
    </x:row>
    <x:row r="11" ht="92" customHeight="1">
      <x:c r="B11" s="16" t="str">
        <x:v>dependencies</x:v>
      </x:c>
      <x:c r="C11" s="16" t="str">
        <x:v>Dépendances et capacité de bout en bout</x:v>
      </x:c>
      <x:c r="D11" s="16" t="str">
        <x:v>Chaque hébergeur, base, réseau, identité, messagerie, paiement et intervenant a un propriétaire, un contrat, une couverture, un accès d’urgence, une preuve et un contournement.</x:v>
      </x:c>
      <x:c r="E11" s="16" t="str">
        <x:v>matrice fournisseur × service × compte × ticket × exclusion | exercice d’indisponibilité d’un tiers avec escalade observée | preuve que l’objectif bout en bout reste compatible avec les sous-objectifs</x:v>
      </x:c>
      <x:c r="F11" s="16" t="str">
        <x:v>GOOGLE-MAPS-SLA | ISO-27031-2025 | ISO-20000-1 | UK-SOFTWARE-CODE-2026</x:v>
      </x:c>
      <x:c r="G11" s="19" t="str">
        <x:v>DECLARE</x:v>
      </x:c>
      <x:c r="H11" s="19" t="str">
        <x:v>Référence fictive</x:v>
      </x:c>
      <x:c r="I11" s="21" t="n">
        <x:v>46231</x:v>
      </x:c>
      <x:c r="J11" s="19" t="str">
        <x:v>À attribuer</x:v>
      </x:c>
    </x:row>
    <x:row r="12" ht="92" customHeight="1">
      <x:c r="B12" s="16" t="str">
        <x:v>communications</x:v>
      </x:c>
      <x:c r="C12" s="16" t="str">
        <x:v>Communication, gouvernance et apprentissage</x:v>
      </x:c>
      <x:c r="D12" s="16" t="str">
        <x:v>Déclenchement, destinataires, cadence, canal de secours, messages attendus, décisionnaires, rapport d’incident, actions, propriétaires et échéances sont définis et exercés.</x:v>
      </x:c>
      <x:c r="E12" s="16" t="str">
        <x:v>plan de communication et matrice RACI approuvés | notification de test reçue par les responsables attendus | post-incident daté avec actions suivies jusqu’à clôture</x:v>
      </x:c>
      <x:c r="F12" s="16" t="str">
        <x:v>UK-SOFTWARE-CODE-2026 | NCSC-APC | DORA-ART11-12 | ISO-22301</x:v>
      </x:c>
      <x:c r="G12" s="19" t="str">
        <x:v>DECLARE</x:v>
      </x:c>
      <x:c r="H12" s="19" t="str">
        <x:v>Référence fictive</x:v>
      </x:c>
      <x:c r="I12" s="21" t="n">
        <x:v>46231</x:v>
      </x:c>
      <x:c r="J12" s="19" t="str">
        <x:v>À attribuer</x:v>
      </x:c>
    </x:row>
    <x:row r="13" ht="92" customHeight="1">
      <x:c r="B13" s="17" t="str">
        <x:v>exit-eol</x:v>
      </x:c>
      <x:c r="C13" s="17" t="str">
        <x:v>Correctifs, fin de support, sortie et recours</x:v>
      </x:c>
      <x:c r="D13" s="17" t="str">
        <x:v>Politique de correctifs, dates de fin de support, préavis, réversibilité, données, assistance de sortie, crédits et autres recours sont séparés, datés et revus par les compétences requises.</x:v>
      </x:c>
      <x:c r="E13" s="17" t="str">
        <x:v>politique de mise à jour et calendrier de fin de support publiés | exercice de sortie ou de réversibilité avec responsabilités | clauses et mécanismes de recours relus juridiquement dans leur contexte</x:v>
      </x:c>
      <x:c r="F13" s="17" t="str">
        <x:v>LEGIFRANCE-1103 | LEGIFRANCE-1217 | UK-SOFTWARE-CODE-2026 | NCSC-APC | ASD-ESSENTIAL-EIGHT</x:v>
      </x:c>
      <x:c r="G13" s="20" t="str">
        <x:v>DECLARE</x:v>
      </x:c>
      <x:c r="H13" s="20" t="str">
        <x:v>Référence fictive</x:v>
      </x:c>
      <x:c r="I13" s="39" t="n">
        <x:v>46231</x:v>
      </x:c>
      <x:c r="J13" s="20" t="str">
        <x:v>À attribuer</x:v>
      </x:c>
    </x:row>
  </x:sheetData>
  <x:mergeCells>
    <x:mergeCell ref="A1:H2"/>
    <x:mergeCell ref="A3:H3"/>
  </x:mergeCells>
  <x:dataValidations count="2">
    <x:dataValidation type="list" sqref="G6:G13">
      <x:formula1>"ND,DECLARE,VERIFIE,ECHEC,NA"</x:formula1>
    </x:dataValidation>
    <x:dataValidation type="decimal" operator="between" sqref="I6:I13">
      <x:formula1>1</x:formula1>
      <x:formula2>46231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08482f696c24f7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COMMUNICATION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Escalade, destinataires, cadence et post-mortem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Moment</x:v>
      </x:c>
      <x:c r="D5" s="11" t="str">
        <x:v>Destinataires</x:v>
      </x:c>
      <x:c r="E5" s="11" t="str">
        <x:v>Cadence</x:v>
      </x:c>
      <x:c r="F5" s="11" t="str">
        <x:v>Contenu</x:v>
      </x:c>
      <x:c r="G5" s="11" t="str">
        <x:v>Secours</x:v>
      </x:c>
      <x:c r="H5" s="11" t="str">
        <x:v>Statut</x:v>
      </x:c>
    </x:row>
    <x:row r="6" ht="68" customHeight="1">
      <x:c r="B6" s="16" t="str">
        <x:v>C01</x:v>
      </x:c>
      <x:c r="C6" s="19" t="str">
        <x:v>Ouverture P1</x:v>
      </x:c>
      <x:c r="D6" s="19" t="str">
        <x:v>Direction, métier, exploitation</x:v>
      </x:c>
      <x:c r="E6" s="19" t="str">
        <x:v>15 min fictif</x:v>
      </x:c>
      <x:c r="F6" s="19" t="str">
        <x:v>Impact, périmètre, prochaine mise à jour</x:v>
      </x:c>
      <x:c r="G6" s="19" t="str">
        <x:v>Téléphone secours</x:v>
      </x:c>
      <x:c r="H6" s="19" t="str">
        <x:v>DECLARE</x:v>
      </x:c>
    </x:row>
    <x:row r="7" ht="68" customHeight="1">
      <x:c r="B7" s="16" t="str">
        <x:v>C02</x:v>
      </x:c>
      <x:c r="C7" s="19" t="str">
        <x:v>Suivi P1</x:v>
      </x:c>
      <x:c r="D7" s="19" t="str">
        <x:v>Même groupe</x:v>
      </x:c>
      <x:c r="E7" s="19" t="str">
        <x:v>30 min fictif</x:v>
      </x:c>
      <x:c r="F7" s="19" t="str">
        <x:v>Actions, risques, décisions</x:v>
      </x:c>
      <x:c r="G7" s="19" t="str">
        <x:v>Téléphone secours</x:v>
      </x:c>
      <x:c r="H7" s="19" t="str">
        <x:v>DECLARE</x:v>
      </x:c>
    </x:row>
    <x:row r="8" ht="68" customHeight="1">
      <x:c r="B8" s="16" t="str">
        <x:v>C03</x:v>
      </x:c>
      <x:c r="C8" s="19" t="str">
        <x:v>Rétablissement</x:v>
      </x:c>
      <x:c r="D8" s="19" t="str">
        <x:v>Utilisateurs affectés</x:v>
      </x:c>
      <x:c r="E8" s="19" t="str">
        <x:v>À la recette</x:v>
      </x:c>
      <x:c r="F8" s="19" t="str">
        <x:v>Parcours, limites, données, surveillance</x:v>
      </x:c>
      <x:c r="G8" s="19" t="str">
        <x:v>Portail</x:v>
      </x:c>
      <x:c r="H8" s="19" t="str">
        <x:v>DECLARE</x:v>
      </x:c>
    </x:row>
    <x:row r="9" ht="68" customHeight="1">
      <x:c r="B9" s="17" t="str">
        <x:v>C04</x:v>
      </x:c>
      <x:c r="C9" s="20" t="str">
        <x:v>Post-mortem</x:v>
      </x:c>
      <x:c r="D9" s="20" t="str">
        <x:v>Direction et propriétaires</x:v>
      </x:c>
      <x:c r="E9" s="20" t="str">
        <x:v>5 jours fictifs</x:v>
      </x:c>
      <x:c r="F9" s="20" t="str">
        <x:v>Chronologie, facteurs, actions</x:v>
      </x:c>
      <x:c r="G9" s="20" t="str">
        <x:v>Réunion</x:v>
      </x:c>
      <x:c r="H9" s="20" t="str">
        <x:v>DECLARE</x:v>
      </x:c>
    </x:row>
  </x:sheetData>
  <x:mergeCells>
    <x:mergeCell ref="A1:H2"/>
    <x:mergeCell ref="A3:H3"/>
  </x:mergeCells>
  <x:dataValidations count="1">
    <x:dataValidation type="list" sqref="H6:H9">
      <x:formula1>"ND,DECLARE,VERIFIE,ECHEC,NA"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0bc988554144d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DECISION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Gate STOP, INCOMPLET, COMPARABLE, DECISION_HUMAINE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Contrôle</x:v>
      </x:c>
      <x:c r="C5" s="11" t="str">
        <x:v>Valeur</x:v>
      </x:c>
      <x:c r="D5" s="11" t="str">
        <x:v>Règle</x:v>
      </x:c>
      <x:c r="E5" s="11" t="str">
        <x:v>Effet</x:v>
      </x:c>
      <x:c r="F5" s="11" t="str">
        <x:v>Responsable</x:v>
      </x:c>
      <x:c r="G5" s="11" t="str">
        <x:v>Date</x:v>
      </x:c>
      <x:c r="H5" s="11" t="str">
        <x:v>Statut</x:v>
      </x:c>
    </x:row>
    <x:row r="6" ht="52" customHeight="1">
      <x:c r="B6" s="16" t="str">
        <x:v>Incident actif</x:v>
      </x:c>
      <x:c r="C6" s="29" t="str">
        <x:f>'LIRE_D_ABORD'!$C$10</x:f>
        <x:v>NON</x:v>
      </x:c>
      <x:c r="D6" s="16" t="str">
        <x:v>OUI = STOP</x:v>
      </x:c>
      <x:c r="E6" s="16" t="str">
        <x:v>Direction</x:v>
      </x:c>
      <x:c r="F6" s="16" t="str">
        <x:v>À attribuer</x:v>
      </x:c>
      <x:c r="G6" s="16" t="str">
        <x:v>2026-07-28</x:v>
      </x:c>
      <x:c r="H6" s="16" t="str">
        <x:v>DECLARE</x:v>
      </x:c>
    </x:row>
    <x:row r="7" ht="52" customHeight="1">
      <x:c r="B7" s="16" t="str">
        <x:v>Autorité confirmée</x:v>
      </x:c>
      <x:c r="C7" s="29" t="str">
        <x:f>'LIRE_D_ABORD'!$C$9</x:f>
        <x:v>OUI</x:v>
      </x:c>
      <x:c r="D7" s="16" t="str">
        <x:v>NON ou vide = STOP</x:v>
      </x:c>
      <x:c r="E7" s="16" t="str">
        <x:v>Direction</x:v>
      </x:c>
      <x:c r="F7" s="16" t="str">
        <x:v>À attribuer</x:v>
      </x:c>
      <x:c r="G7" s="16" t="str">
        <x:v>2026-07-28</x:v>
      </x:c>
      <x:c r="H7" s="16" t="str">
        <x:v>DECLARE</x:v>
      </x:c>
    </x:row>
    <x:row r="8" ht="52" customHeight="1">
      <x:c r="B8" s="16" t="str">
        <x:v>Exemple fictif remplacé</x:v>
      </x:c>
      <x:c r="C8" s="29" t="str">
        <x:f>'LIRE_D_ABORD'!$C$8</x:f>
        <x:v>NON</x:v>
      </x:c>
      <x:c r="D8" s="16" t="str">
        <x:v>OUI requis pour final</x:v>
      </x:c>
      <x:c r="E8" s="16" t="str">
        <x:v>Direction</x:v>
      </x:c>
      <x:c r="F8" s="16" t="str">
        <x:v>À attribuer</x:v>
      </x:c>
      <x:c r="G8" s="16" t="str">
        <x:v>2026-07-28</x:v>
      </x:c>
      <x:c r="H8" s="16" t="str">
        <x:v>DECLARE</x:v>
      </x:c>
    </x:row>
    <x:row r="9" ht="52" customHeight="1">
      <x:c r="B9" s="16" t="str">
        <x:v>Disponibilité valide</x:v>
      </x:c>
      <x:c r="C9" s="29" t="str">
        <x:f>IF(COUNTIF('DISPONIBILITE'!$H$6:$H$10,"PASS")=5,"PASS","STOP")</x:f>
        <x:v>PASS</x:v>
      </x:c>
      <x:c r="D9" s="16" t="str">
        <x:v>PASS requis</x:v>
      </x:c>
      <x:c r="E9" s="16" t="str">
        <x:v>Direction</x:v>
      </x:c>
      <x:c r="F9" s="16" t="str">
        <x:v>À attribuer</x:v>
      </x:c>
      <x:c r="G9" s="16" t="str">
        <x:v>2026-07-28</x:v>
      </x:c>
      <x:c r="H9" s="16" t="str">
        <x:v>DECLARE</x:v>
      </x:c>
    </x:row>
    <x:row r="10" ht="52" customHeight="1">
      <x:c r="B10" s="16" t="str">
        <x:v>Chronologie valide</x:v>
      </x:c>
      <x:c r="C10" s="29" t="str">
        <x:f>IF(COUNTIF('CHRONOLOGIE'!$H$6:$H$12,"PASS")=7,"PASS","STOP")</x:f>
        <x:v>PASS</x:v>
      </x:c>
      <x:c r="D10" s="16" t="str">
        <x:v>PASS requis</x:v>
      </x:c>
      <x:c r="E10" s="16" t="str">
        <x:v>Direction</x:v>
      </x:c>
      <x:c r="F10" s="16" t="str">
        <x:v>À attribuer</x:v>
      </x:c>
      <x:c r="G10" s="16" t="str">
        <x:v>2026-07-28</x:v>
      </x:c>
      <x:c r="H10" s="16" t="str">
        <x:v>DECLARE</x:v>
      </x:c>
    </x:row>
    <x:row r="11" ht="52" customHeight="1">
      <x:c r="B11" s="16" t="str">
        <x:v>Coût valide</x:v>
      </x:c>
      <x:c r="C11" s="29" t="str">
        <x:f>IF(AND(COUNTIF('COUT_INCIDENT'!$H$6:$H$13,"PASS")=8,ISNUMBER('COUT_INCIDENT'!$F$15)),IF('COUT_INCIDENT'!$F$15&gt;=0,"PASS","STOP"),"STOP")</x:f>
        <x:v>PASS</x:v>
      </x:c>
      <x:c r="D11" s="16" t="str">
        <x:v>PASS requis</x:v>
      </x:c>
      <x:c r="E11" s="16" t="str">
        <x:v>Direction</x:v>
      </x:c>
      <x:c r="F11" s="16" t="str">
        <x:v>À attribuer</x:v>
      </x:c>
      <x:c r="G11" s="16" t="str">
        <x:v>2026-07-28</x:v>
      </x:c>
      <x:c r="H11" s="16" t="str">
        <x:v>DECLARE</x:v>
      </x:c>
    </x:row>
    <x:row r="12" ht="52" customHeight="1">
      <x:c r="B12" s="16" t="str">
        <x:v>RPO valide</x:v>
      </x:c>
      <x:c r="C12" s="29" t="str">
        <x:f>IF(COUNT('RPO_OPERATIONS'!$G$6:$H$8)=6,IF(MIN('RPO_OPERATIONS'!$G$6:$H$8)&gt;=0,"PASS","STOP"),"STOP")</x:f>
        <x:v>PASS</x:v>
      </x:c>
      <x:c r="D12" s="16" t="str">
        <x:v>PASS requis</x:v>
      </x:c>
      <x:c r="E12" s="16" t="str">
        <x:v>Direction</x:v>
      </x:c>
      <x:c r="F12" s="16" t="str">
        <x:v>À attribuer</x:v>
      </x:c>
      <x:c r="G12" s="16" t="str">
        <x:v>2026-07-28</x:v>
      </x:c>
      <x:c r="H12" s="16" t="str">
        <x:v>DECLARE</x:v>
      </x:c>
    </x:row>
    <x:row r="13" ht="52" customHeight="1">
      <x:c r="B13" s="16" t="str">
        <x:v>Preuves en échec</x:v>
      </x:c>
      <x:c r="C13" s="29" t="n">
        <x:f>COUNTIF('EXERCICES_PREUVES'!$G$6:$G$13,"ECHEC")</x:f>
        <x:v>0</x:v>
      </x:c>
      <x:c r="D13" s="16" t="str">
        <x:v>0 requis</x:v>
      </x:c>
      <x:c r="E13" s="16" t="str">
        <x:v>Direction</x:v>
      </x:c>
      <x:c r="F13" s="16" t="str">
        <x:v>À attribuer</x:v>
      </x:c>
      <x:c r="G13" s="16" t="str">
        <x:v>2026-07-28</x:v>
      </x:c>
      <x:c r="H13" s="16" t="str">
        <x:v>DECLARE</x:v>
      </x:c>
    </x:row>
    <x:row r="14" ht="52" customHeight="1">
      <x:c r="B14" s="16" t="str">
        <x:v>Preuves vérifiées et documentées</x:v>
      </x:c>
      <x:c r="C14" s="29" t="n">
        <x:f>IF(AND('EXERCICES_PREUVES'!$G$6="VERIFIE",LEN(TRIM('EXERCICES_PREUVES'!$H$6))&gt;=6,LEN(TRIM('EXERCICES_PREUVES'!$J$6))&gt;=3,ISNUMBER('EXERCICES_PREUVES'!$I$6)),IF(AND(INT('EXERCICES_PREUVES'!$I$6)='EXERCICES_PREUVES'!$I$6,'EXERCICES_PREUVES'!$I$6&gt;0,'EXERCICES_PREUVES'!$I$6&lt;='LIRE_D_ABORD'!$C$11),1,0),0)+IF(AND('EXERCICES_PREUVES'!$G$7="VERIFIE",LEN(TRIM('EXERCICES_PREUVES'!$H$7))&gt;=6,LEN(TRIM('EXERCICES_PREUVES'!$J$7))&gt;=3,ISNUMBER('EXERCICES_PREUVES'!$I$7)),IF(AND(INT('EXERCICES_PREUVES'!$I$7)='EXERCICES_PREUVES'!$I$7,'EXERCICES_PREUVES'!$I$7&gt;0,'EXERCICES_PREUVES'!$I$7&lt;='LIRE_D_ABORD'!$C$11),1,0),0)+IF(AND('EXERCICES_PREUVES'!$G$8="VERIFIE",LEN(TRIM('EXERCICES_PREUVES'!$H$8))&gt;=6,LEN(TRIM('EXERCICES_PREUVES'!$J$8))&gt;=3,ISNUMBER('EXERCICES_PREUVES'!$I$8)),IF(AND(INT('EXERCICES_PREUVES'!$I$8)='EXERCICES_PREUVES'!$I$8,'EXERCICES_PREUVES'!$I$8&gt;0,'EXERCICES_PREUVES'!$I$8&lt;='LIRE_D_ABORD'!$C$11),1,0),0)+IF(AND('EXERCICES_PREUVES'!$G$9="VERIFIE",LEN(TRIM('EXERCICES_PREUVES'!$H$9))&gt;=6,LEN(TRIM('EXERCICES_PREUVES'!$J$9))&gt;=3,ISNUMBER('EXERCICES_PREUVES'!$I$9)),IF(AND(INT('EXERCICES_PREUVES'!$I$9)='EXERCICES_PREUVES'!$I$9,'EXERCICES_PREUVES'!$I$9&gt;0,'EXERCICES_PREUVES'!$I$9&lt;='LIRE_D_ABORD'!$C$11),1,0),0)+IF(AND('EXERCICES_PREUVES'!$G$10="VERIFIE",LEN(TRIM('EXERCICES_PREUVES'!$H$10))&gt;=6,LEN(TRIM('EXERCICES_PREUVES'!$J$10))&gt;=3,ISNUMBER('EXERCICES_PREUVES'!$I$10)),IF(AND(INT('EXERCICES_PREUVES'!$I$10)='EXERCICES_PREUVES'!$I$10,'EXERCICES_PREUVES'!$I$10&gt;0,'EXERCICES_PREUVES'!$I$10&lt;='LIRE_D_ABORD'!$C$11),1,0),0)+IF(AND('EXERCICES_PREUVES'!$G$11="VERIFIE",LEN(TRIM('EXERCICES_PREUVES'!$H$11))&gt;=6,LEN(TRIM('EXERCICES_PREUVES'!$J$11))&gt;=3,ISNUMBER('EXERCICES_PREUVES'!$I$11)),IF(AND(INT('EXERCICES_PREUVES'!$I$11)='EXERCICES_PREUVES'!$I$11,'EXERCICES_PREUVES'!$I$11&gt;0,'EXERCICES_PREUVES'!$I$11&lt;='LIRE_D_ABORD'!$C$11),1,0),0)+IF(AND('EXERCICES_PREUVES'!$G$12="VERIFIE",LEN(TRIM('EXERCICES_PREUVES'!$H$12))&gt;=6,LEN(TRIM('EXERCICES_PREUVES'!$J$12))&gt;=3,ISNUMBER('EXERCICES_PREUVES'!$I$12)),IF(AND(INT('EXERCICES_PREUVES'!$I$12)='EXERCICES_PREUVES'!$I$12,'EXERCICES_PREUVES'!$I$12&gt;0,'EXERCICES_PREUVES'!$I$12&lt;='LIRE_D_ABORD'!$C$11),1,0),0)+IF(AND('EXERCICES_PREUVES'!$G$13="VERIFIE",LEN(TRIM('EXERCICES_PREUVES'!$H$13))&gt;=6,LEN(TRIM('EXERCICES_PREUVES'!$J$13))&gt;=3,ISNUMBER('EXERCICES_PREUVES'!$I$13)),IF(AND(INT('EXERCICES_PREUVES'!$I$13)='EXERCICES_PREUVES'!$I$13,'EXERCICES_PREUVES'!$I$13&gt;0,'EXERCICES_PREUVES'!$I$13&lt;='LIRE_D_ABORD'!$C$11),1,0),0)</x:f>
        <x:v>0</x:v>
      </x:c>
      <x:c r="D14" s="16" t="str">
        <x:v>8 requis pour final</x:v>
      </x:c>
      <x:c r="E14" s="16" t="str">
        <x:v>Direction</x:v>
      </x:c>
      <x:c r="F14" s="16" t="str">
        <x:v>À attribuer</x:v>
      </x:c>
      <x:c r="G14" s="16" t="str">
        <x:v>2026-07-28</x:v>
      </x:c>
      <x:c r="H14" s="16" t="str">
        <x:v>DECLARE</x:v>
      </x:c>
    </x:row>
    <x:row r="15" ht="52" customHeight="1">
      <x:c r="B15" s="16" t="str">
        <x:v>Couvertures complètes et sourcées</x:v>
      </x:c>
      <x:c r="C15" s="29" t="n">
        <x:f>COUNTIF('COMPARAISON_12_MOIS'!$H$6:$H$8,"PASS")</x:f>
        <x:v>3</x:v>
      </x:c>
      <x:c r="D15" s="16" t="str">
        <x:v>3 requises</x:v>
      </x:c>
      <x:c r="E15" s="16" t="str">
        <x:v>Direction</x:v>
      </x:c>
      <x:c r="F15" s="16" t="str">
        <x:v>À attribuer</x:v>
      </x:c>
      <x:c r="G15" s="16" t="str">
        <x:v>2026-07-28</x:v>
      </x:c>
      <x:c r="H15" s="16" t="str">
        <x:v>DECLARE</x:v>
      </x:c>
    </x:row>
    <x:row r="16" ht="52" customHeight="1">
      <x:c r="B16" s="16" t="str">
        <x:v>Gate</x:v>
      </x:c>
      <x:c r="C16" s="29" t="str">
        <x:f>IF(OR(C6&lt;&gt;"NON",C7&lt;&gt;"OUI",C13&gt;0,C9="STOP",C10="STOP",C11="STOP",C12="STOP"),"STOP",IF(OR(C8&lt;&gt;"OUI",C9&lt;&gt;"PASS",C10&lt;&gt;"PASS",C11&lt;&gt;"PASS",C12&lt;&gt;"PASS",C15&lt;3,COUNT('LIRE_D_ABORD'!$C$11)&lt;&gt;1),"INCOMPLET",IF(OR(INT('LIRE_D_ABORD'!$C$11)&lt;&gt;'LIRE_D_ABORD'!$C$11,'LIRE_D_ABORD'!$C$11&lt;=0,'LIRE_D_ABORD'!$C$11&gt;46231),"INCOMPLET",IF(C14&lt;8,"COMPARABLE","DECISION_HUMAINE"))))</x:f>
        <x:v>INCOMPLET</x:v>
      </x:c>
      <x:c r="D16" s="16" t="str">
        <x:v>STOP &gt; INCOMPLET &gt; COMPARABLE &gt; DECISION_HUMAINE</x:v>
      </x:c>
      <x:c r="E16" s="16" t="str">
        <x:v>Direction</x:v>
      </x:c>
      <x:c r="F16" s="16" t="str">
        <x:v>À attribuer</x:v>
      </x:c>
      <x:c r="G16" s="16" t="str">
        <x:v>2026-07-28</x:v>
      </x:c>
      <x:c r="H16" s="16" t="str">
        <x:v>DECLARE</x:v>
      </x:c>
    </x:row>
    <x:row r="17" ht="52" customHeight="1">
      <x:c r="B17" s="17" t="str">
        <x:v>Export final</x:v>
      </x:c>
      <x:c r="C17" s="31" t="str">
        <x:f>IF(C16="DECISION_HUMAINE","AUTORISE","BLOQUE")</x:f>
        <x:v>BLOQUE</x:v>
      </x:c>
      <x:c r="D17" s="17" t="str">
        <x:v>Seulement DECISION_HUMAINE</x:v>
      </x:c>
      <x:c r="E17" s="17" t="str">
        <x:v>Direction</x:v>
      </x:c>
      <x:c r="F17" s="17" t="str">
        <x:v>À attribuer</x:v>
      </x:c>
      <x:c r="G17" s="17" t="str">
        <x:v>2026-07-28</x:v>
      </x:c>
      <x:c r="H17" s="17" t="str">
        <x:v>DECLARE</x:v>
      </x:c>
    </x:row>
  </x:sheetData>
  <x:mergeCells>
    <x:mergeCell ref="A1:H2"/>
    <x:mergeCell ref="A3:H3"/>
  </x:mergeCells>
  <x:conditionalFormatting sqref="C9:C17">
    <x:cfRule type="containsText" dxfId="15" priority="1" operator="containsText" text="STOP"/>
    <x:cfRule type="containsText" dxfId="16" priority="2" operator="containsText" text="INCOMPLET"/>
    <x:cfRule type="containsText" dxfId="17" priority="3" operator="containsText" text="PASS"/>
  </x:conditionalFormatting>
  <x:dataValidations count="1">
    <x:dataValidation type="list" sqref="H6:H17">
      <x:formula1>"ND,DECLARE,VERIFIE,ECHEC,NA"</x:formula1>
    </x:dataValidation>
  </x:dataValidations>
  <x:pageMargins left="0.7" right="0.7" top="0.75" bottom="0.75" header="0.3" footer="0.3"/>
  <x:legacyDrawing xmlns:r="http://schemas.openxmlformats.org/officeDocument/2006/relationships" r:id="R3801bdff7dbf4d67"/>
  <x:tableParts count="1">
    <x:tablePart xmlns:r="http://schemas.openxmlformats.org/officeDocument/2006/relationships" r:id="R2475b59cfc72438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CONTROLES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Contrôles structurels, formules et scénario livré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Famille</x:v>
      </x:c>
      <x:c r="D5" s="11" t="str">
        <x:v>Cible</x:v>
      </x:c>
      <x:c r="E5" s="11" t="str">
        <x:v>Injection</x:v>
      </x:c>
      <x:c r="F5" s="11" t="str">
        <x:v>Attendu</x:v>
      </x:c>
      <x:c r="G5" s="11" t="str">
        <x:v>Exécution</x:v>
      </x:c>
      <x:c r="H5" s="11" t="str">
        <x:v>Statut</x:v>
      </x:c>
    </x:row>
    <x:row r="6" ht="50" customHeight="1">
      <x:c r="B6" s="16" t="str">
        <x:v>MUT-01</x:v>
      </x:c>
      <x:c r="C6" s="16" t="str">
        <x:v>mutation</x:v>
      </x:c>
      <x:c r="D6" s="16" t="str">
        <x:v>DISPONIBILITE!B8</x:v>
      </x:c>
      <x:c r="E6" s="16" t="str">
        <x:v>99,9 → 99,5</x:v>
      </x:c>
      <x:c r="F6" s="16" t="str">
        <x:v>Arrêt 216 min</x:v>
      </x:c>
      <x:c r="G6" s="16" t="str">
        <x:v>Validateur externe</x:v>
      </x:c>
      <x:c r="H6" s="24" t="str">
        <x:v>SPECIFIE</x:v>
      </x:c>
    </x:row>
    <x:row r="7" ht="50" customHeight="1">
      <x:c r="B7" s="16" t="str">
        <x:v>MUT-02</x:v>
      </x:c>
      <x:c r="C7" s="16" t="str">
        <x:v>mutation</x:v>
      </x:c>
      <x:c r="D7" s="16" t="str">
        <x:v>COUT_INCIDENT!C6</x:v>
      </x:c>
      <x:c r="E7" s="16" t="str">
        <x:v>+1 h</x:v>
      </x:c>
      <x:c r="F7" s="16" t="str">
        <x:v>Capacité +420 €</x:v>
      </x:c>
      <x:c r="G7" s="16" t="str">
        <x:v>Validateur externe</x:v>
      </x:c>
      <x:c r="H7" s="24" t="str">
        <x:v>SPECIFIE</x:v>
      </x:c>
    </x:row>
    <x:row r="8" ht="50" customHeight="1">
      <x:c r="B8" s="16" t="str">
        <x:v>MUT-03</x:v>
      </x:c>
      <x:c r="C8" s="16" t="str">
        <x:v>mutation</x:v>
      </x:c>
      <x:c r="D8" s="16" t="str">
        <x:v>RPO_OPERATIONS!D6</x:v>
      </x:c>
      <x:c r="E8" s="16" t="str">
        <x:v>RPO +0,5 h</x:v>
      </x:c>
      <x:c r="F8" s="16" t="str">
        <x:v>Opérations +20</x:v>
      </x:c>
      <x:c r="G8" s="16" t="str">
        <x:v>Validateur externe</x:v>
      </x:c>
      <x:c r="H8" s="24" t="str">
        <x:v>SPECIFIE</x:v>
      </x:c>
    </x:row>
    <x:row r="9" ht="50" customHeight="1">
      <x:c r="B9" s="16" t="str">
        <x:v>MUT-04</x:v>
      </x:c>
      <x:c r="C9" s="16" t="str">
        <x:v>mutation</x:v>
      </x:c>
      <x:c r="D9" s="16" t="str">
        <x:v>COUVERTURES!E6</x:v>
      </x:c>
      <x:c r="E9" s="16" t="str">
        <x:v>Mensuel +100 €</x:v>
      </x:c>
      <x:c r="F9" s="16" t="str">
        <x:v>Total +1 200 €</x:v>
      </x:c>
      <x:c r="G9" s="16" t="str">
        <x:v>Validateur externe</x:v>
      </x:c>
      <x:c r="H9" s="24" t="str">
        <x:v>SPECIFIE</x:v>
      </x:c>
    </x:row>
    <x:row r="10" ht="50" customHeight="1">
      <x:c r="B10" s="16" t="str">
        <x:v>MUT-05</x:v>
      </x:c>
      <x:c r="C10" s="16" t="str">
        <x:v>mutation</x:v>
      </x:c>
      <x:c r="D10" s="16" t="str">
        <x:v>COUVERTURES!F7</x:v>
      </x:c>
      <x:c r="E10" s="16" t="str">
        <x:v>Interne +1 h/mois</x:v>
      </x:c>
      <x:c r="F10" s="16" t="str">
        <x:v>Total +564 €</x:v>
      </x:c>
      <x:c r="G10" s="16" t="str">
        <x:v>Validateur externe</x:v>
      </x:c>
      <x:c r="H10" s="24" t="str">
        <x:v>SPECIFIE</x:v>
      </x:c>
    </x:row>
    <x:row r="11" ht="50" customHeight="1">
      <x:c r="B11" s="16" t="str">
        <x:v>MUT-06</x:v>
      </x:c>
      <x:c r="C11" s="16" t="str">
        <x:v>mutation</x:v>
      </x:c>
      <x:c r="D11" s="16" t="str">
        <x:v>COUVERTURES!J8</x:v>
      </x:c>
      <x:c r="E11" s="16" t="str">
        <x:v>Coût résiduel +100 €</x:v>
      </x:c>
      <x:c r="F11" s="16" t="str">
        <x:v>Total +50 €</x:v>
      </x:c>
      <x:c r="G11" s="16" t="str">
        <x:v>Validateur externe</x:v>
      </x:c>
      <x:c r="H11" s="24" t="str">
        <x:v>SPECIFIE</x:v>
      </x:c>
    </x:row>
    <x:row r="12" ht="50" customHeight="1">
      <x:c r="B12" s="16" t="str">
        <x:v>MUT-07</x:v>
      </x:c>
      <x:c r="C12" s="16" t="str">
        <x:v>mutation</x:v>
      </x:c>
      <x:c r="D12" s="16" t="str">
        <x:v>COUT_INCIDENT!C6</x:v>
      </x:c>
      <x:c r="E12" s="16" t="str">
        <x:v>4,2 → 5,2 h</x:v>
      </x:c>
      <x:c r="F12" s="16" t="str">
        <x:v>Brut 4 098,29 €</x:v>
      </x:c>
      <x:c r="G12" s="16" t="str">
        <x:v>Validateur externe</x:v>
      </x:c>
      <x:c r="H12" s="24" t="str">
        <x:v>SPECIFIE</x:v>
      </x:c>
    </x:row>
    <x:row r="13" ht="50" customHeight="1">
      <x:c r="B13" s="16" t="str">
        <x:v>MUT-08</x:v>
      </x:c>
      <x:c r="C13" s="16" t="str">
        <x:v>mutation</x:v>
      </x:c>
      <x:c r="D13" s="16" t="str">
        <x:v>COUT_INCIDENT!C9</x:v>
      </x:c>
      <x:c r="E13" s="16" t="str">
        <x:v>12,3456 %</x:v>
      </x:c>
      <x:c r="F13" s="16" t="str">
        <x:v>Capacité 217,78 €</x:v>
      </x:c>
      <x:c r="G13" s="16" t="str">
        <x:v>Validateur externe</x:v>
      </x:c>
      <x:c r="H13" s="24" t="str">
        <x:v>SPECIFIE</x:v>
      </x:c>
    </x:row>
    <x:row r="14" ht="50" customHeight="1">
      <x:c r="B14" s="16" t="str">
        <x:v>ADV-01</x:v>
      </x:c>
      <x:c r="C14" s="16" t="str">
        <x:v>adversarial</x:v>
      </x:c>
      <x:c r="D14" s="16" t="str">
        <x:v>DISPONIBILITE!B6</x:v>
      </x:c>
      <x:c r="E14" s="16" t="str">
        <x:v>100</x:v>
      </x:c>
      <x:c r="F14" s="16" t="str">
        <x:v>STOP</x:v>
      </x:c>
      <x:c r="G14" s="16" t="str">
        <x:v>Validateur externe</x:v>
      </x:c>
      <x:c r="H14" s="24" t="str">
        <x:v>SPECIFIE</x:v>
      </x:c>
    </x:row>
    <x:row r="15" ht="50" customHeight="1">
      <x:c r="B15" s="16" t="str">
        <x:v>ADV-02</x:v>
      </x:c>
      <x:c r="C15" s="16" t="str">
        <x:v>adversarial</x:v>
      </x:c>
      <x:c r="D15" s="16" t="str">
        <x:v>COUT_INCIDENT!C6</x:v>
      </x:c>
      <x:c r="E15" s="16" t="str">
        <x:v>-1</x:v>
      </x:c>
      <x:c r="F15" s="16" t="str">
        <x:v>STOP</x:v>
      </x:c>
      <x:c r="G15" s="16" t="str">
        <x:v>Validateur externe</x:v>
      </x:c>
      <x:c r="H15" s="24" t="str">
        <x:v>SPECIFIE</x:v>
      </x:c>
    </x:row>
    <x:row r="16" ht="50" customHeight="1">
      <x:c r="B16" s="16" t="str">
        <x:v>ADV-03</x:v>
      </x:c>
      <x:c r="C16" s="16" t="str">
        <x:v>adversarial</x:v>
      </x:c>
      <x:c r="D16" s="16" t="str">
        <x:v>COUT_INCIDENT!C7</x:v>
      </x:c>
      <x:c r="E16" s="16" t="str">
        <x:v>1,5</x:v>
      </x:c>
      <x:c r="F16" s="16" t="str">
        <x:v>STOP</x:v>
      </x:c>
      <x:c r="G16" s="16" t="str">
        <x:v>Validateur externe</x:v>
      </x:c>
      <x:c r="H16" s="24" t="str">
        <x:v>SPECIFIE</x:v>
      </x:c>
    </x:row>
    <x:row r="17" ht="50" customHeight="1">
      <x:c r="B17" s="16" t="str">
        <x:v>ADV-04</x:v>
      </x:c>
      <x:c r="C17" s="16" t="str">
        <x:v>adversarial</x:v>
      </x:c>
      <x:c r="D17" s="16" t="str">
        <x:v>CHRONOLOGIE!D8</x:v>
      </x:c>
      <x:c r="E17" s="16" t="str">
        <x:v>avant D7</x:v>
      </x:c>
      <x:c r="F17" s="16" t="str">
        <x:v>Chronologie invalide</x:v>
      </x:c>
      <x:c r="G17" s="16" t="str">
        <x:v>Validateur externe</x:v>
      </x:c>
      <x:c r="H17" s="24" t="str">
        <x:v>SPECIFIE</x:v>
      </x:c>
    </x:row>
    <x:row r="18" ht="50" customHeight="1">
      <x:c r="B18" s="16" t="str">
        <x:v>ADV-05</x:v>
      </x:c>
      <x:c r="C18" s="16" t="str">
        <x:v>adversarial</x:v>
      </x:c>
      <x:c r="D18" s="16" t="str">
        <x:v>COUVERTURES!K6</x:v>
      </x:c>
      <x:c r="E18" s="16" t="str">
        <x:v>vide</x:v>
      </x:c>
      <x:c r="F18" s="16" t="str">
        <x:v>Total non finalisable</x:v>
      </x:c>
      <x:c r="G18" s="16" t="str">
        <x:v>Validateur externe</x:v>
      </x:c>
      <x:c r="H18" s="24" t="str">
        <x:v>SPECIFIE</x:v>
      </x:c>
    </x:row>
    <x:row r="19" ht="50" customHeight="1">
      <x:c r="B19" s="16" t="str">
        <x:v>ADV-06</x:v>
      </x:c>
      <x:c r="C19" s="16" t="str">
        <x:v>adversarial</x:v>
      </x:c>
      <x:c r="D19" s="16" t="str">
        <x:v>EXERCICES_PREUVES!G6</x:v>
      </x:c>
      <x:c r="E19" s="16" t="str">
        <x:v>ECHEC</x:v>
      </x:c>
      <x:c r="F19" s="16" t="str">
        <x:v>STOP</x:v>
      </x:c>
      <x:c r="G19" s="16" t="str">
        <x:v>Validateur externe</x:v>
      </x:c>
      <x:c r="H19" s="24" t="str">
        <x:v>SPECIFIE</x:v>
      </x:c>
    </x:row>
    <x:row r="20" ht="50" customHeight="1">
      <x:c r="B20" s="16" t="str">
        <x:v>ADV-07</x:v>
      </x:c>
      <x:c r="C20" s="16" t="str">
        <x:v>adversarial</x:v>
      </x:c>
      <x:c r="D20" s="16" t="str">
        <x:v>LIRE_D_ABORD!C9</x:v>
      </x:c>
      <x:c r="E20" s="16" t="str">
        <x:v>NON</x:v>
      </x:c>
      <x:c r="F20" s="16" t="str">
        <x:v>STOP autorité</x:v>
      </x:c>
      <x:c r="G20" s="16" t="str">
        <x:v>Validateur externe</x:v>
      </x:c>
      <x:c r="H20" s="24" t="str">
        <x:v>SPECIFIE</x:v>
      </x:c>
    </x:row>
    <x:row r="21" ht="50" customHeight="1">
      <x:c r="B21" s="16" t="str">
        <x:v>ADV-08</x:v>
      </x:c>
      <x:c r="C21" s="16" t="str">
        <x:v>adversarial</x:v>
      </x:c>
      <x:c r="D21" s="16" t="str">
        <x:v>LIRE_D_ABORD!C10</x:v>
      </x:c>
      <x:c r="E21" s="16" t="str">
        <x:v>OUI</x:v>
      </x:c>
      <x:c r="F21" s="16" t="str">
        <x:v>STOP incident</x:v>
      </x:c>
      <x:c r="G21" s="16" t="str">
        <x:v>Validateur externe</x:v>
      </x:c>
      <x:c r="H21" s="24" t="str">
        <x:v>SPECIFIE</x:v>
      </x:c>
    </x:row>
    <x:row r="22" ht="50" customHeight="1">
      <x:c r="B22" s="16" t="str">
        <x:v>ADV-09</x:v>
      </x:c>
      <x:c r="C22" s="16" t="str">
        <x:v>adversarial</x:v>
      </x:c>
      <x:c r="D22" s="16" t="str">
        <x:v>DECISION!C8</x:v>
      </x:c>
      <x:c r="E22" s="16" t="str">
        <x:v>NON</x:v>
      </x:c>
      <x:c r="F22" s="16" t="str">
        <x:v>INCOMPLET fictif</x:v>
      </x:c>
      <x:c r="G22" s="16" t="str">
        <x:v>Validateur externe</x:v>
      </x:c>
      <x:c r="H22" s="24" t="str">
        <x:v>SPECIFIE</x:v>
      </x:c>
    </x:row>
    <x:row r="23" ht="50" customHeight="1">
      <x:c r="B23" s="16" t="str">
        <x:v>ADV-10</x:v>
      </x:c>
      <x:c r="C23" s="16" t="str">
        <x:v>adversarial</x:v>
      </x:c>
      <x:c r="D23" s="16" t="str">
        <x:v>EXERCICES_PREUVES!G6:G13</x:v>
      </x:c>
      <x:c r="E23" s="16" t="str">
        <x:v>DECLARE</x:v>
      </x:c>
      <x:c r="F23" s="16" t="str">
        <x:v>COMPARABLE au mieux</x:v>
      </x:c>
      <x:c r="G23" s="16" t="str">
        <x:v>Validateur externe</x:v>
      </x:c>
      <x:c r="H23" s="24" t="str">
        <x:v>SPECIFIE</x:v>
      </x:c>
    </x:row>
    <x:row r="24" ht="50" customHeight="1">
      <x:c r="B24" s="16" t="str">
        <x:v>ADV-11</x:v>
      </x:c>
      <x:c r="C24" s="16" t="str">
        <x:v>adversarial</x:v>
      </x:c>
      <x:c r="D24" s="16" t="str">
        <x:v>EXERCICES_PREUVES!I6:I13</x:v>
      </x:c>
      <x:c r="E24" s="16" t="str">
        <x:v>vide</x:v>
      </x:c>
      <x:c r="F24" s="16" t="str">
        <x:v>COMPARABLE au mieux</x:v>
      </x:c>
      <x:c r="G24" s="16" t="str">
        <x:v>Validateur externe</x:v>
      </x:c>
      <x:c r="H24" s="24" t="str">
        <x:v>SPECIFIE</x:v>
      </x:c>
    </x:row>
    <x:row r="25" ht="50" customHeight="1">
      <x:c r="B25" s="16" t="str">
        <x:v>ADV-12</x:v>
      </x:c>
      <x:c r="C25" s="16" t="str">
        <x:v>adversarial</x:v>
      </x:c>
      <x:c r="D25" s="16" t="str">
        <x:v>EXERCICES_PREUVES!H6:H13</x:v>
      </x:c>
      <x:c r="E25" s="16" t="str">
        <x:v>vide</x:v>
      </x:c>
      <x:c r="F25" s="16" t="str">
        <x:v>COMPARABLE au mieux</x:v>
      </x:c>
      <x:c r="G25" s="16" t="str">
        <x:v>Validateur externe</x:v>
      </x:c>
      <x:c r="H25" s="24" t="str">
        <x:v>SPECIFIE</x:v>
      </x:c>
    </x:row>
    <x:row r="26" ht="50" customHeight="1">
      <x:c r="B26" s="16" t="str">
        <x:v>ADV-13</x:v>
      </x:c>
      <x:c r="C26" s="16" t="str">
        <x:v>adversarial</x:v>
      </x:c>
      <x:c r="D26" s="16" t="str">
        <x:v>EXERCICES_PREUVES!J6:J13</x:v>
      </x:c>
      <x:c r="E26" s="16" t="str">
        <x:v>vide</x:v>
      </x:c>
      <x:c r="F26" s="16" t="str">
        <x:v>COMPARABLE au mieux</x:v>
      </x:c>
      <x:c r="G26" s="16" t="str">
        <x:v>Validateur externe</x:v>
      </x:c>
      <x:c r="H26" s="24" t="str">
        <x:v>SPECIFIE</x:v>
      </x:c>
    </x:row>
    <x:row r="27" ht="50" customHeight="1">
      <x:c r="B27" s="16" t="str">
        <x:v>ADV-14</x:v>
      </x:c>
      <x:c r="C27" s="16" t="str">
        <x:v>adversarial</x:v>
      </x:c>
      <x:c r="D27" s="16" t="str">
        <x:v>RPO_OPERATIONS!C6</x:v>
      </x:c>
      <x:c r="E27" s="16" t="str">
        <x:v>-1</x:v>
      </x:c>
      <x:c r="F27" s="16" t="str">
        <x:v>STOP</x:v>
      </x:c>
      <x:c r="G27" s="16" t="str">
        <x:v>Validateur externe</x:v>
      </x:c>
      <x:c r="H27" s="24" t="str">
        <x:v>SPECIFIE</x:v>
      </x:c>
    </x:row>
    <x:row r="28" ht="50" customHeight="1">
      <x:c r="B28" s="16" t="str">
        <x:v>ADV-15</x:v>
      </x:c>
      <x:c r="C28" s="16" t="str">
        <x:v>adversarial</x:v>
      </x:c>
      <x:c r="D28" s="16" t="str">
        <x:v>LIRE_D_ABORD!C11</x:v>
      </x:c>
      <x:c r="E28" s="16" t="str">
        <x:v>date future</x:v>
      </x:c>
      <x:c r="F28" s="16" t="str">
        <x:v>INCOMPLET</x:v>
      </x:c>
      <x:c r="G28" s="16" t="str">
        <x:v>Validateur externe</x:v>
      </x:c>
      <x:c r="H28" s="24" t="str">
        <x:v>SPECIFIE</x:v>
      </x:c>
    </x:row>
    <x:row r="29" ht="50" customHeight="1">
      <x:c r="B29" s="16" t="str">
        <x:v>ADV-16</x:v>
      </x:c>
      <x:c r="C29" s="16" t="str">
        <x:v>adversarial</x:v>
      </x:c>
      <x:c r="D29" s="16" t="str">
        <x:v>COUVERTURES!K6</x:v>
      </x:c>
      <x:c r="E29" s="16" t="str">
        <x:v>espaces</x:v>
      </x:c>
      <x:c r="F29" s="16" t="str">
        <x:v>INCOMPLET</x:v>
      </x:c>
      <x:c r="G29" s="16" t="str">
        <x:v>Validateur externe</x:v>
      </x:c>
      <x:c r="H29" s="24" t="str">
        <x:v>SPECIFIE</x:v>
      </x:c>
    </x:row>
    <x:row r="30" ht="50" customHeight="1">
      <x:c r="B30" s="16" t="str">
        <x:v>ADV-17</x:v>
      </x:c>
      <x:c r="C30" s="16" t="str">
        <x:v>adversarial</x:v>
      </x:c>
      <x:c r="D30" s="16" t="str">
        <x:v>EXERCICES_PREUVES!H6:H13</x:v>
      </x:c>
      <x:c r="E30" s="16" t="str">
        <x:v>espaces</x:v>
      </x:c>
      <x:c r="F30" s="16" t="str">
        <x:v>COMPARABLE au mieux</x:v>
      </x:c>
      <x:c r="G30" s="16" t="str">
        <x:v>Validateur externe</x:v>
      </x:c>
      <x:c r="H30" s="24" t="str">
        <x:v>SPECIFIE</x:v>
      </x:c>
    </x:row>
    <x:row r="31" ht="50" customHeight="1">
      <x:c r="B31" s="16" t="str">
        <x:v>ADV-18</x:v>
      </x:c>
      <x:c r="C31" s="16" t="str">
        <x:v>adversarial</x:v>
      </x:c>
      <x:c r="D31" s="16" t="str">
        <x:v>EXERCICES_PREUVES!J6:J13</x:v>
      </x:c>
      <x:c r="E31" s="16" t="str">
        <x:v>espaces</x:v>
      </x:c>
      <x:c r="F31" s="16" t="str">
        <x:v>COMPARABLE au mieux</x:v>
      </x:c>
      <x:c r="G31" s="16" t="str">
        <x:v>Validateur externe</x:v>
      </x:c>
      <x:c r="H31" s="24" t="str">
        <x:v>SPECIFIE</x:v>
      </x:c>
    </x:row>
    <x:row r="32" ht="50" customHeight="1">
      <x:c r="B32" s="16" t="str">
        <x:v>ADV-19</x:v>
      </x:c>
      <x:c r="C32" s="16" t="str">
        <x:v>adversarial</x:v>
      </x:c>
      <x:c r="D32" s="16" t="str">
        <x:v>COUT_INCIDENT!C6:C13</x:v>
      </x:c>
      <x:c r="E32" s="16" t="str">
        <x:v>vide</x:v>
      </x:c>
      <x:c r="F32" s="16" t="str">
        <x:v>STOP</x:v>
      </x:c>
      <x:c r="G32" s="16" t="str">
        <x:v>Validateur externe</x:v>
      </x:c>
      <x:c r="H32" s="24" t="str">
        <x:v>SPECIFIE</x:v>
      </x:c>
    </x:row>
    <x:row r="33" ht="50" customHeight="1">
      <x:c r="B33" s="16" t="str">
        <x:v>ADV-20</x:v>
      </x:c>
      <x:c r="C33" s="16" t="str">
        <x:v>adversarial</x:v>
      </x:c>
      <x:c r="D33" s="16" t="str">
        <x:v>COUVERTURES!B6:B8</x:v>
      </x:c>
      <x:c r="E33" s="16" t="str">
        <x:v>A/A/A</x:v>
      </x:c>
      <x:c r="F33" s="16" t="str">
        <x:v>INCOMPLET</x:v>
      </x:c>
      <x:c r="G33" s="16" t="str">
        <x:v>Validateur externe</x:v>
      </x:c>
      <x:c r="H33" s="24" t="str">
        <x:v>SPECIFIE</x:v>
      </x:c>
    </x:row>
    <x:row r="34" ht="50" customHeight="1">
      <x:c r="B34" s="16" t="str">
        <x:v>ADV-21</x:v>
      </x:c>
      <x:c r="C34" s="16" t="str">
        <x:v>adversarial</x:v>
      </x:c>
      <x:c r="D34" s="16" t="str">
        <x:v>COUVERTURES!C6</x:v>
      </x:c>
      <x:c r="E34" s="16" t="str">
        <x:v>vide</x:v>
      </x:c>
      <x:c r="F34" s="16" t="str">
        <x:v>INCOMPLET</x:v>
      </x:c>
      <x:c r="G34" s="16" t="str">
        <x:v>Validateur externe</x:v>
      </x:c>
      <x:c r="H34" s="24" t="str">
        <x:v>SPECIFIE</x:v>
      </x:c>
    </x:row>
    <x:row r="35" ht="50" customHeight="1">
      <x:c r="B35" s="16" t="str">
        <x:v>ADV-22</x:v>
      </x:c>
      <x:c r="C35" s="16" t="str">
        <x:v>adversarial</x:v>
      </x:c>
      <x:c r="D35" s="16" t="str">
        <x:v>LIRE_D_ABORD!C10</x:v>
      </x:c>
      <x:c r="E35" s="16" t="str">
        <x:v>vide</x:v>
      </x:c>
      <x:c r="F35" s="16" t="str">
        <x:v>STOP</x:v>
      </x:c>
      <x:c r="G35" s="16" t="str">
        <x:v>Validateur externe</x:v>
      </x:c>
      <x:c r="H35" s="24" t="str">
        <x:v>SPECIFIE</x:v>
      </x:c>
    </x:row>
    <x:row r="36" ht="50" customHeight="1">
      <x:c r="B36" s="16" t="str">
        <x:v>ADV-23</x:v>
      </x:c>
      <x:c r="C36" s="16" t="str">
        <x:v>adversarial</x:v>
      </x:c>
      <x:c r="D36" s="16" t="str">
        <x:v>COUT_INCIDENT!C13</x:v>
      </x:c>
      <x:c r="E36" s="16" t="str">
        <x:v>crédit &gt; brut</x:v>
      </x:c>
      <x:c r="F36" s="16" t="str">
        <x:v>STOP</x:v>
      </x:c>
      <x:c r="G36" s="16" t="str">
        <x:v>Validateur externe</x:v>
      </x:c>
      <x:c r="H36" s="24" t="str">
        <x:v>SPECIFIE</x:v>
      </x:c>
    </x:row>
    <x:row r="37" ht="50" customHeight="1">
      <x:c r="B37" s="16" t="str">
        <x:v>ADV-24</x:v>
      </x:c>
      <x:c r="C37" s="16" t="str">
        <x:v>adversarial</x:v>
      </x:c>
      <x:c r="D37" s="16" t="str">
        <x:v>LIRE_D_ABORD!C11</x:v>
      </x:c>
      <x:c r="E37" s="16" t="str">
        <x:v>vide</x:v>
      </x:c>
      <x:c r="F37" s="16" t="str">
        <x:v>INCOMPLET</x:v>
      </x:c>
      <x:c r="G37" s="16" t="str">
        <x:v>Validateur externe</x:v>
      </x:c>
      <x:c r="H37" s="24" t="str">
        <x:v>SPECIFIE</x:v>
      </x:c>
    </x:row>
    <x:row r="38" ht="50" customHeight="1">
      <x:c r="B38" s="16" t="str">
        <x:v>ADV-25</x:v>
      </x:c>
      <x:c r="C38" s="16" t="str">
        <x:v>adversarial</x:v>
      </x:c>
      <x:c r="D38" s="16" t="str">
        <x:v>LIRE_D_ABORD!C11</x:v>
      </x:c>
      <x:c r="E38" s="16" t="str">
        <x:v>date fractionnaire</x:v>
      </x:c>
      <x:c r="F38" s="16" t="str">
        <x:v>INCOMPLET</x:v>
      </x:c>
      <x:c r="G38" s="16" t="str">
        <x:v>Validateur externe</x:v>
      </x:c>
      <x:c r="H38" s="24" t="str">
        <x:v>SPECIFIE</x:v>
      </x:c>
    </x:row>
    <x:row r="39" ht="50" customHeight="1">
      <x:c r="B39" s="16" t="str">
        <x:v>ADV-26</x:v>
      </x:c>
      <x:c r="C39" s="16" t="str">
        <x:v>adversarial</x:v>
      </x:c>
      <x:c r="D39" s="16" t="str">
        <x:v>EXERCICES_PREUVES!I6:I13</x:v>
      </x:c>
      <x:c r="E39" s="16" t="str">
        <x:v>dates fractionnaires</x:v>
      </x:c>
      <x:c r="F39" s="16" t="str">
        <x:v>COMPARABLE au mieux</x:v>
      </x:c>
      <x:c r="G39" s="16" t="str">
        <x:v>Validateur externe</x:v>
      </x:c>
      <x:c r="H39" s="24" t="str">
        <x:v>SPECIFIE</x:v>
      </x:c>
    </x:row>
    <x:row r="40" ht="50" customHeight="1">
      <x:c r="B40" s="16" t="str">
        <x:v>ADV-27</x:v>
      </x:c>
      <x:c r="C40" s="16" t="str">
        <x:v>adversarial</x:v>
      </x:c>
      <x:c r="D40" s="16" t="str">
        <x:v>COUVERTURES!L6</x:v>
      </x:c>
      <x:c r="E40" s="16" t="str">
        <x:v>date fractionnaire</x:v>
      </x:c>
      <x:c r="F40" s="16" t="str">
        <x:v>INCOMPLET</x:v>
      </x:c>
      <x:c r="G40" s="16" t="str">
        <x:v>Validateur externe</x:v>
      </x:c>
      <x:c r="H40" s="24" t="str">
        <x:v>SPECIFIE</x:v>
      </x:c>
    </x:row>
    <x:row r="41" ht="50" customHeight="1">
      <x:c r="B41" s="16" t="str">
        <x:v>ADV-28</x:v>
      </x:c>
      <x:c r="C41" s="16" t="str">
        <x:v>adversarial</x:v>
      </x:c>
      <x:c r="D41" s="16" t="str">
        <x:v>DISPONIBILITE!C6</x:v>
      </x:c>
      <x:c r="E41" s="16" t="str">
        <x:v>30,5 jours</x:v>
      </x:c>
      <x:c r="F41" s="16" t="str">
        <x:v>STOP</x:v>
      </x:c>
      <x:c r="G41" s="16" t="str">
        <x:v>Validateur externe</x:v>
      </x:c>
      <x:c r="H41" s="24" t="str">
        <x:v>SPECIFIE</x:v>
      </x:c>
    </x:row>
    <x:row r="42" ht="50" customHeight="1">
      <x:c r="B42" s="16" t="str">
        <x:v>ADV-29</x:v>
      </x:c>
      <x:c r="C42" s="16" t="str">
        <x:v>adversarial</x:v>
      </x:c>
      <x:c r="D42" s="16" t="str">
        <x:v>DISPONIBILITE!C6</x:v>
      </x:c>
      <x:c r="E42" s="16" t="str">
        <x:v>1 000 jours</x:v>
      </x:c>
      <x:c r="F42" s="16" t="str">
        <x:v>STOP</x:v>
      </x:c>
      <x:c r="G42" s="16" t="str">
        <x:v>Validateur externe</x:v>
      </x:c>
      <x:c r="H42" s="24" t="str">
        <x:v>SPECIFIE</x:v>
      </x:c>
    </x:row>
    <x:row r="43" ht="50" customHeight="1">
      <x:c r="B43" s="16" t="str">
        <x:v>ADV-30</x:v>
      </x:c>
      <x:c r="C43" s="16" t="str">
        <x:v>adversarial</x:v>
      </x:c>
      <x:c r="D43" s="16" t="str">
        <x:v>COUT_INCIDENT!C6</x:v>
      </x:c>
      <x:c r="E43" s="16" t="str">
        <x:v>4,20001 h</x:v>
      </x:c>
      <x:c r="F43" s="16" t="str">
        <x:v>STOP</x:v>
      </x:c>
      <x:c r="G43" s="16" t="str">
        <x:v>Validateur externe</x:v>
      </x:c>
      <x:c r="H43" s="24" t="str">
        <x:v>SPECIFIE</x:v>
      </x:c>
    </x:row>
    <x:row r="44" ht="50" customHeight="1">
      <x:c r="B44" s="16" t="str">
        <x:v>ADV-31</x:v>
      </x:c>
      <x:c r="C44" s="16" t="str">
        <x:v>adversarial</x:v>
      </x:c>
      <x:c r="D44" s="16" t="str">
        <x:v>COUT_INCIDENT!C6</x:v>
      </x:c>
      <x:c r="E44" s="16" t="str">
        <x:v>2 000 000 h</x:v>
      </x:c>
      <x:c r="F44" s="16" t="str">
        <x:v>STOP</x:v>
      </x:c>
      <x:c r="G44" s="16" t="str">
        <x:v>Validateur externe</x:v>
      </x:c>
      <x:c r="H44" s="24" t="str">
        <x:v>SPECIFIE</x:v>
      </x:c>
    </x:row>
    <x:row r="45" ht="50" customHeight="1">
      <x:c r="B45" s="16" t="str">
        <x:v>ADV-32</x:v>
      </x:c>
      <x:c r="C45" s="16" t="str">
        <x:v>adversarial</x:v>
      </x:c>
      <x:c r="D45" s="16" t="str">
        <x:v>COUT_INCIDENT!C7</x:v>
      </x:c>
      <x:c r="E45" s="16" t="str">
        <x:v>200 000 000 personnes</x:v>
      </x:c>
      <x:c r="F45" s="16" t="str">
        <x:v>STOP</x:v>
      </x:c>
      <x:c r="G45" s="16" t="str">
        <x:v>Validateur externe</x:v>
      </x:c>
      <x:c r="H45" s="24" t="str">
        <x:v>SPECIFIE</x:v>
      </x:c>
    </x:row>
    <x:row r="46" ht="50" customHeight="1">
      <x:c r="B46" s="16" t="str">
        <x:v>ADV-33</x:v>
      </x:c>
      <x:c r="C46" s="16" t="str">
        <x:v>adversarial</x:v>
      </x:c>
      <x:c r="D46" s="16" t="str">
        <x:v>RPO_OPERATIONS!C6</x:v>
      </x:c>
      <x:c r="E46" s="16" t="str">
        <x:v>0,50001 opération/h</x:v>
      </x:c>
      <x:c r="F46" s="16" t="str">
        <x:v>STOP</x:v>
      </x:c>
      <x:c r="G46" s="16" t="str">
        <x:v>Validateur externe</x:v>
      </x:c>
      <x:c r="H46" s="24" t="str">
        <x:v>SPECIFIE</x:v>
      </x:c>
    </x:row>
    <x:row r="47" ht="50" customHeight="1">
      <x:c r="B47" s="16" t="str">
        <x:v>ADV-34</x:v>
      </x:c>
      <x:c r="C47" s="16" t="str">
        <x:v>adversarial</x:v>
      </x:c>
      <x:c r="D47" s="16" t="str">
        <x:v>COUVERTURES!D6</x:v>
      </x:c>
      <x:c r="E47" s="16" t="str">
        <x:v>5 000,00001 €</x:v>
      </x:c>
      <x:c r="F47" s="16" t="str">
        <x:v>INCOMPLET</x:v>
      </x:c>
      <x:c r="G47" s="16" t="str">
        <x:v>Validateur externe</x:v>
      </x:c>
      <x:c r="H47" s="24" t="str">
        <x:v>SPECIFIE</x:v>
      </x:c>
    </x:row>
    <x:row r="48" ht="50" customHeight="1">
      <x:c r="B48" s="16" t="str">
        <x:v>ADV-35</x:v>
      </x:c>
      <x:c r="C48" s="16" t="str">
        <x:v>adversarial</x:v>
      </x:c>
      <x:c r="D48" s="16" t="str">
        <x:v>COUVERTURES!D6</x:v>
      </x:c>
      <x:c r="E48" s="16" t="str">
        <x:v>20 Md€</x:v>
      </x:c>
      <x:c r="F48" s="16" t="str">
        <x:v>INCOMPLET</x:v>
      </x:c>
      <x:c r="G48" s="16" t="str">
        <x:v>Validateur externe</x:v>
      </x:c>
      <x:c r="H48" s="24" t="str">
        <x:v>SPECIFIE</x:v>
      </x:c>
    </x:row>
    <x:row r="49" ht="50" customHeight="1">
      <x:c r="B49" s="16" t="str">
        <x:v>ADV-36</x:v>
      </x:c>
      <x:c r="C49" s="16" t="str">
        <x:v>adversarial</x:v>
      </x:c>
      <x:c r="D49" s="16" t="str">
        <x:v>COUT_INCIDENT!C6:C13</x:v>
      </x:c>
      <x:c r="E49" s="16" t="str">
        <x:v>micro-montants</x:v>
      </x:c>
      <x:c r="F49" s="16" t="str">
        <x:v>STOP crédit &gt; brut</x:v>
      </x:c>
      <x:c r="G49" s="16" t="str">
        <x:v>Validateur externe</x:v>
      </x:c>
      <x:c r="H49" s="24" t="str">
        <x:v>SPECIFIE</x:v>
      </x:c>
    </x:row>
    <x:row r="50" ht="50" customHeight="1">
      <x:c r="B50" s="16" t="str">
        <x:v>ADV-37</x:v>
      </x:c>
      <x:c r="C50" s="16" t="str">
        <x:v>adversarial</x:v>
      </x:c>
      <x:c r="D50" s="16" t="str">
        <x:v>RPO_OPERATIONS!C6:F6</x:v>
      </x:c>
      <x:c r="E50" s="16" t="str">
        <x:v>précision 4 décimales</x:v>
      </x:c>
      <x:c r="F50" s="16" t="str">
        <x:v>Coût 700,67 €</x:v>
      </x:c>
      <x:c r="G50" s="16" t="str">
        <x:v>Validateur externe</x:v>
      </x:c>
      <x:c r="H50" s="24" t="str">
        <x:v>SPECIFIE</x:v>
      </x:c>
    </x:row>
    <x:row r="51" ht="50" customHeight="1">
      <x:c r="B51" s="16" t="str">
        <x:v>ADV-38</x:v>
      </x:c>
      <x:c r="C51" s="16" t="str">
        <x:v>adversarial</x:v>
      </x:c>
      <x:c r="D51" s="16" t="str">
        <x:v>COUVERTURES!D6:J6</x:v>
      </x:c>
      <x:c r="E51" s="16" t="str">
        <x:v>micro-montants</x:v>
      </x:c>
      <x:c r="F51" s="16" t="str">
        <x:v>Total 0,07 €</x:v>
      </x:c>
      <x:c r="G51" s="16" t="str">
        <x:v>Validateur externe</x:v>
      </x:c>
      <x:c r="H51" s="24" t="str">
        <x:v>SPECIFIE</x:v>
      </x:c>
    </x:row>
    <x:row r="52" ht="50" customHeight="1">
      <x:c r="B52" s="16" t="str">
        <x:v>ADV-39</x:v>
      </x:c>
      <x:c r="C52" s="16" t="str">
        <x:v>adversarial</x:v>
      </x:c>
      <x:c r="D52" s="16" t="str">
        <x:v>COUVERTURES!B6:B8</x:v>
      </x:c>
      <x:c r="E52" s="16" t="str">
        <x:v>IDs espaces</x:v>
      </x:c>
      <x:c r="F52" s="16" t="str">
        <x:v>INCOMPLET</x:v>
      </x:c>
      <x:c r="G52" s="16" t="str">
        <x:v>Validateur externe</x:v>
      </x:c>
      <x:c r="H52" s="24" t="str">
        <x:v>SPECIFIE</x:v>
      </x:c>
    </x:row>
    <x:row r="53" ht="50" customHeight="1">
      <x:c r="B53" s="16" t="str">
        <x:v>ADV-40</x:v>
      </x:c>
      <x:c r="C53" s="16" t="str">
        <x:v>adversarial</x:v>
      </x:c>
      <x:c r="D53" s="16" t="str">
        <x:v>COUVERTURES!B6</x:v>
      </x:c>
      <x:c r="E53" s="16" t="str">
        <x:v>ID numérique</x:v>
      </x:c>
      <x:c r="F53" s="16" t="str">
        <x:v>INCOMPLET</x:v>
      </x:c>
      <x:c r="G53" s="16" t="str">
        <x:v>Validateur externe</x:v>
      </x:c>
      <x:c r="H53" s="24" t="str">
        <x:v>SPECIFIE</x:v>
      </x:c>
    </x:row>
    <x:row r="54" ht="50" customHeight="1">
      <x:c r="B54" s="16" t="str">
        <x:v>ADV-41</x:v>
      </x:c>
      <x:c r="C54" s="16" t="str">
        <x:v>adversarial</x:v>
      </x:c>
      <x:c r="D54" s="16" t="str">
        <x:v>COUVERTURES!D6:J6</x:v>
      </x:c>
      <x:c r="E54" s="16" t="str">
        <x:v>7 bornes à 10 Md</x:v>
      </x:c>
      <x:c r="F54" s="16" t="str">
        <x:v>PASS sans exception</x:v>
      </x:c>
      <x:c r="G54" s="16" t="str">
        <x:v>Validateur externe</x:v>
      </x:c>
      <x:c r="H54" s="24" t="str">
        <x:v>SPECIFIE</x:v>
      </x:c>
    </x:row>
    <x:row r="55" ht="50" customHeight="1">
      <x:c r="B55" s="16" t="str">
        <x:v>ADV-42</x:v>
      </x:c>
      <x:c r="C55" s="16" t="str">
        <x:v>adversarial</x:v>
      </x:c>
      <x:c r="D55" s="16" t="str">
        <x:v>COUT_INCIDENT!C6:C13</x:v>
      </x:c>
      <x:c r="E55" s="16" t="str">
        <x:v>bornes hautes</x:v>
      </x:c>
      <x:c r="F55" s="16" t="str">
        <x:v>Brut aligné moteur/classeur</x:v>
      </x:c>
      <x:c r="G55" s="16" t="str">
        <x:v>Validateur externe</x:v>
      </x:c>
      <x:c r="H55" s="24" t="str">
        <x:v>SPECIFIE</x:v>
      </x:c>
    </x:row>
    <x:row r="56" ht="50" customHeight="1">
      <x:c r="B56" s="16" t="str">
        <x:v>ADV-43</x:v>
      </x:c>
      <x:c r="C56" s="16" t="str">
        <x:v>adversarial</x:v>
      </x:c>
      <x:c r="D56" s="16" t="str">
        <x:v>RPO_OPERATIONS!C6:F6</x:v>
      </x:c>
      <x:c r="E56" s="16" t="str">
        <x:v>bornes hautes</x:v>
      </x:c>
      <x:c r="F56" s="16" t="str">
        <x:v>Coût aligné moteur/classeur</x:v>
      </x:c>
      <x:c r="G56" s="16" t="str">
        <x:v>Validateur externe</x:v>
      </x:c>
      <x:c r="H56" s="24" t="str">
        <x:v>SPECIFIE</x:v>
      </x:c>
    </x:row>
    <x:row r="57" ht="50" customHeight="1">
      <x:c r="B57" s="16" t="str">
        <x:v>SAB-01</x:v>
      </x:c>
      <x:c r="C57" s="16" t="str">
        <x:v>sabotage</x:v>
      </x:c>
      <x:c r="D57" s="16" t="str">
        <x:v>DISPONIBILITE!E6</x:v>
      </x:c>
      <x:c r="E57" s="16" t="str">
        <x:v>Remplacer formule par 1</x:v>
      </x:c>
      <x:c r="F57" s="16" t="str">
        <x:v>Validateur = FAIL</x:v>
      </x:c>
      <x:c r="G57" s="16" t="str">
        <x:v>Validateur externe</x:v>
      </x:c>
      <x:c r="H57" s="24" t="str">
        <x:v>SPECIFIE</x:v>
      </x:c>
    </x:row>
    <x:row r="58" ht="50" customHeight="1">
      <x:c r="B58" s="16" t="str">
        <x:v>SAB-02</x:v>
      </x:c>
      <x:c r="C58" s="16" t="str">
        <x:v>sabotage</x:v>
      </x:c>
      <x:c r="D58" s="16" t="str">
        <x:v>DISPONIBILITE!F6</x:v>
      </x:c>
      <x:c r="E58" s="16" t="str">
        <x:v>Remplacer formule par 1</x:v>
      </x:c>
      <x:c r="F58" s="16" t="str">
        <x:v>Validateur = FAIL</x:v>
      </x:c>
      <x:c r="G58" s="16" t="str">
        <x:v>Validateur externe</x:v>
      </x:c>
      <x:c r="H58" s="24" t="str">
        <x:v>SPECIFIE</x:v>
      </x:c>
    </x:row>
    <x:row r="59" ht="50" customHeight="1">
      <x:c r="B59" s="16" t="str">
        <x:v>SAB-03</x:v>
      </x:c>
      <x:c r="C59" s="16" t="str">
        <x:v>sabotage</x:v>
      </x:c>
      <x:c r="D59" s="16" t="str">
        <x:v>DISPONIBILITE!G6</x:v>
      </x:c>
      <x:c r="E59" s="16" t="str">
        <x:v>Remplacer formule par 1</x:v>
      </x:c>
      <x:c r="F59" s="16" t="str">
        <x:v>Validateur = FAIL</x:v>
      </x:c>
      <x:c r="G59" s="16" t="str">
        <x:v>Validateur externe</x:v>
      </x:c>
      <x:c r="H59" s="24" t="str">
        <x:v>SPECIFIE</x:v>
      </x:c>
    </x:row>
    <x:row r="60" ht="50" customHeight="1">
      <x:c r="B60" s="16" t="str">
        <x:v>SAB-04</x:v>
      </x:c>
      <x:c r="C60" s="16" t="str">
        <x:v>sabotage</x:v>
      </x:c>
      <x:c r="D60" s="16" t="str">
        <x:v>DISPONIBILITE!H6</x:v>
      </x:c>
      <x:c r="E60" s="16" t="str">
        <x:v>Remplacer formule par 1</x:v>
      </x:c>
      <x:c r="F60" s="16" t="str">
        <x:v>Validateur = FAIL</x:v>
      </x:c>
      <x:c r="G60" s="16" t="str">
        <x:v>Validateur externe</x:v>
      </x:c>
      <x:c r="H60" s="24" t="str">
        <x:v>SPECIFIE</x:v>
      </x:c>
    </x:row>
    <x:row r="61" ht="50" customHeight="1">
      <x:c r="B61" s="16" t="str">
        <x:v>SAB-05</x:v>
      </x:c>
      <x:c r="C61" s="16" t="str">
        <x:v>sabotage</x:v>
      </x:c>
      <x:c r="D61" s="16" t="str">
        <x:v>DISPONIBILITE!E7</x:v>
      </x:c>
      <x:c r="E61" s="16" t="str">
        <x:v>Remplacer formule par 1</x:v>
      </x:c>
      <x:c r="F61" s="16" t="str">
        <x:v>Validateur = FAIL</x:v>
      </x:c>
      <x:c r="G61" s="16" t="str">
        <x:v>Validateur externe</x:v>
      </x:c>
      <x:c r="H61" s="24" t="str">
        <x:v>SPECIFIE</x:v>
      </x:c>
    </x:row>
    <x:row r="62" ht="50" customHeight="1">
      <x:c r="B62" s="16" t="str">
        <x:v>SAB-06</x:v>
      </x:c>
      <x:c r="C62" s="16" t="str">
        <x:v>sabotage</x:v>
      </x:c>
      <x:c r="D62" s="16" t="str">
        <x:v>DISPONIBILITE!F7</x:v>
      </x:c>
      <x:c r="E62" s="16" t="str">
        <x:v>Remplacer formule par 1</x:v>
      </x:c>
      <x:c r="F62" s="16" t="str">
        <x:v>Validateur = FAIL</x:v>
      </x:c>
      <x:c r="G62" s="16" t="str">
        <x:v>Validateur externe</x:v>
      </x:c>
      <x:c r="H62" s="24" t="str">
        <x:v>SPECIFIE</x:v>
      </x:c>
    </x:row>
    <x:row r="63" ht="50" customHeight="1">
      <x:c r="B63" s="16" t="str">
        <x:v>SAB-07</x:v>
      </x:c>
      <x:c r="C63" s="16" t="str">
        <x:v>sabotage</x:v>
      </x:c>
      <x:c r="D63" s="16" t="str">
        <x:v>DISPONIBILITE!G7</x:v>
      </x:c>
      <x:c r="E63" s="16" t="str">
        <x:v>Remplacer formule par 1</x:v>
      </x:c>
      <x:c r="F63" s="16" t="str">
        <x:v>Validateur = FAIL</x:v>
      </x:c>
      <x:c r="G63" s="16" t="str">
        <x:v>Validateur externe</x:v>
      </x:c>
      <x:c r="H63" s="24" t="str">
        <x:v>SPECIFIE</x:v>
      </x:c>
    </x:row>
    <x:row r="64" ht="50" customHeight="1">
      <x:c r="B64" s="16" t="str">
        <x:v>SAB-08</x:v>
      </x:c>
      <x:c r="C64" s="16" t="str">
        <x:v>sabotage</x:v>
      </x:c>
      <x:c r="D64" s="16" t="str">
        <x:v>DISPONIBILITE!H7</x:v>
      </x:c>
      <x:c r="E64" s="16" t="str">
        <x:v>Remplacer formule par 1</x:v>
      </x:c>
      <x:c r="F64" s="16" t="str">
        <x:v>Validateur = FAIL</x:v>
      </x:c>
      <x:c r="G64" s="16" t="str">
        <x:v>Validateur externe</x:v>
      </x:c>
      <x:c r="H64" s="24" t="str">
        <x:v>SPECIFIE</x:v>
      </x:c>
    </x:row>
    <x:row r="65" ht="50" customHeight="1">
      <x:c r="B65" s="16" t="str">
        <x:v>SAB-09</x:v>
      </x:c>
      <x:c r="C65" s="16" t="str">
        <x:v>sabotage</x:v>
      </x:c>
      <x:c r="D65" s="16" t="str">
        <x:v>DISPONIBILITE!E8</x:v>
      </x:c>
      <x:c r="E65" s="16" t="str">
        <x:v>Remplacer formule par 1</x:v>
      </x:c>
      <x:c r="F65" s="16" t="str">
        <x:v>Validateur = FAIL</x:v>
      </x:c>
      <x:c r="G65" s="16" t="str">
        <x:v>Validateur externe</x:v>
      </x:c>
      <x:c r="H65" s="24" t="str">
        <x:v>SPECIFIE</x:v>
      </x:c>
    </x:row>
    <x:row r="66" ht="50" customHeight="1">
      <x:c r="B66" s="16" t="str">
        <x:v>SAB-10</x:v>
      </x:c>
      <x:c r="C66" s="16" t="str">
        <x:v>sabotage</x:v>
      </x:c>
      <x:c r="D66" s="16" t="str">
        <x:v>DISPONIBILITE!F8</x:v>
      </x:c>
      <x:c r="E66" s="16" t="str">
        <x:v>Remplacer formule par 1</x:v>
      </x:c>
      <x:c r="F66" s="16" t="str">
        <x:v>Validateur = FAIL</x:v>
      </x:c>
      <x:c r="G66" s="16" t="str">
        <x:v>Validateur externe</x:v>
      </x:c>
      <x:c r="H66" s="24" t="str">
        <x:v>SPECIFIE</x:v>
      </x:c>
    </x:row>
    <x:row r="67" ht="50" customHeight="1">
      <x:c r="B67" s="16" t="str">
        <x:v>SAB-11</x:v>
      </x:c>
      <x:c r="C67" s="16" t="str">
        <x:v>sabotage</x:v>
      </x:c>
      <x:c r="D67" s="16" t="str">
        <x:v>DISPONIBILITE!G8</x:v>
      </x:c>
      <x:c r="E67" s="16" t="str">
        <x:v>Remplacer formule par 1</x:v>
      </x:c>
      <x:c r="F67" s="16" t="str">
        <x:v>Validateur = FAIL</x:v>
      </x:c>
      <x:c r="G67" s="16" t="str">
        <x:v>Validateur externe</x:v>
      </x:c>
      <x:c r="H67" s="24" t="str">
        <x:v>SPECIFIE</x:v>
      </x:c>
    </x:row>
    <x:row r="68" ht="50" customHeight="1">
      <x:c r="B68" s="16" t="str">
        <x:v>SAB-12</x:v>
      </x:c>
      <x:c r="C68" s="16" t="str">
        <x:v>sabotage</x:v>
      </x:c>
      <x:c r="D68" s="16" t="str">
        <x:v>DISPONIBILITE!H8</x:v>
      </x:c>
      <x:c r="E68" s="16" t="str">
        <x:v>Remplacer formule par 1</x:v>
      </x:c>
      <x:c r="F68" s="16" t="str">
        <x:v>Validateur = FAIL</x:v>
      </x:c>
      <x:c r="G68" s="16" t="str">
        <x:v>Validateur externe</x:v>
      </x:c>
      <x:c r="H68" s="24" t="str">
        <x:v>SPECIFIE</x:v>
      </x:c>
    </x:row>
    <x:row r="69" ht="50" customHeight="1">
      <x:c r="B69" s="16" t="str">
        <x:v>SAB-13</x:v>
      </x:c>
      <x:c r="C69" s="16" t="str">
        <x:v>sabotage</x:v>
      </x:c>
      <x:c r="D69" s="16" t="str">
        <x:v>DISPONIBILITE!E9</x:v>
      </x:c>
      <x:c r="E69" s="16" t="str">
        <x:v>Remplacer formule par 1</x:v>
      </x:c>
      <x:c r="F69" s="16" t="str">
        <x:v>Validateur = FAIL</x:v>
      </x:c>
      <x:c r="G69" s="16" t="str">
        <x:v>Validateur externe</x:v>
      </x:c>
      <x:c r="H69" s="24" t="str">
        <x:v>SPECIFIE</x:v>
      </x:c>
    </x:row>
    <x:row r="70" ht="50" customHeight="1">
      <x:c r="B70" s="16" t="str">
        <x:v>SAB-14</x:v>
      </x:c>
      <x:c r="C70" s="16" t="str">
        <x:v>sabotage</x:v>
      </x:c>
      <x:c r="D70" s="16" t="str">
        <x:v>DISPONIBILITE!F9</x:v>
      </x:c>
      <x:c r="E70" s="16" t="str">
        <x:v>Remplacer formule par 1</x:v>
      </x:c>
      <x:c r="F70" s="16" t="str">
        <x:v>Validateur = FAIL</x:v>
      </x:c>
      <x:c r="G70" s="16" t="str">
        <x:v>Validateur externe</x:v>
      </x:c>
      <x:c r="H70" s="24" t="str">
        <x:v>SPECIFIE</x:v>
      </x:c>
    </x:row>
    <x:row r="71" ht="50" customHeight="1">
      <x:c r="B71" s="16" t="str">
        <x:v>SAB-15</x:v>
      </x:c>
      <x:c r="C71" s="16" t="str">
        <x:v>sabotage</x:v>
      </x:c>
      <x:c r="D71" s="16" t="str">
        <x:v>DISPONIBILITE!G9</x:v>
      </x:c>
      <x:c r="E71" s="16" t="str">
        <x:v>Remplacer formule par 1</x:v>
      </x:c>
      <x:c r="F71" s="16" t="str">
        <x:v>Validateur = FAIL</x:v>
      </x:c>
      <x:c r="G71" s="16" t="str">
        <x:v>Validateur externe</x:v>
      </x:c>
      <x:c r="H71" s="24" t="str">
        <x:v>SPECIFIE</x:v>
      </x:c>
    </x:row>
    <x:row r="72" ht="50" customHeight="1">
      <x:c r="B72" s="16" t="str">
        <x:v>SAB-16</x:v>
      </x:c>
      <x:c r="C72" s="16" t="str">
        <x:v>sabotage</x:v>
      </x:c>
      <x:c r="D72" s="16" t="str">
        <x:v>DISPONIBILITE!H9</x:v>
      </x:c>
      <x:c r="E72" s="16" t="str">
        <x:v>Remplacer formule par 1</x:v>
      </x:c>
      <x:c r="F72" s="16" t="str">
        <x:v>Validateur = FAIL</x:v>
      </x:c>
      <x:c r="G72" s="16" t="str">
        <x:v>Validateur externe</x:v>
      </x:c>
      <x:c r="H72" s="24" t="str">
        <x:v>SPECIFIE</x:v>
      </x:c>
    </x:row>
    <x:row r="73" ht="50" customHeight="1">
      <x:c r="B73" s="16" t="str">
        <x:v>SAB-17</x:v>
      </x:c>
      <x:c r="C73" s="16" t="str">
        <x:v>sabotage</x:v>
      </x:c>
      <x:c r="D73" s="16" t="str">
        <x:v>DISPONIBILITE!E10</x:v>
      </x:c>
      <x:c r="E73" s="16" t="str">
        <x:v>Remplacer formule par 1</x:v>
      </x:c>
      <x:c r="F73" s="16" t="str">
        <x:v>Validateur = FAIL</x:v>
      </x:c>
      <x:c r="G73" s="16" t="str">
        <x:v>Validateur externe</x:v>
      </x:c>
      <x:c r="H73" s="24" t="str">
        <x:v>SPECIFIE</x:v>
      </x:c>
    </x:row>
    <x:row r="74" ht="50" customHeight="1">
      <x:c r="B74" s="16" t="str">
        <x:v>SAB-18</x:v>
      </x:c>
      <x:c r="C74" s="16" t="str">
        <x:v>sabotage</x:v>
      </x:c>
      <x:c r="D74" s="16" t="str">
        <x:v>DISPONIBILITE!F10</x:v>
      </x:c>
      <x:c r="E74" s="16" t="str">
        <x:v>Remplacer formule par 1</x:v>
      </x:c>
      <x:c r="F74" s="16" t="str">
        <x:v>Validateur = FAIL</x:v>
      </x:c>
      <x:c r="G74" s="16" t="str">
        <x:v>Validateur externe</x:v>
      </x:c>
      <x:c r="H74" s="24" t="str">
        <x:v>SPECIFIE</x:v>
      </x:c>
    </x:row>
    <x:row r="75" ht="50" customHeight="1">
      <x:c r="B75" s="16" t="str">
        <x:v>SAB-19</x:v>
      </x:c>
      <x:c r="C75" s="16" t="str">
        <x:v>sabotage</x:v>
      </x:c>
      <x:c r="D75" s="16" t="str">
        <x:v>DISPONIBILITE!G10</x:v>
      </x:c>
      <x:c r="E75" s="16" t="str">
        <x:v>Remplacer formule par 1</x:v>
      </x:c>
      <x:c r="F75" s="16" t="str">
        <x:v>Validateur = FAIL</x:v>
      </x:c>
      <x:c r="G75" s="16" t="str">
        <x:v>Validateur externe</x:v>
      </x:c>
      <x:c r="H75" s="24" t="str">
        <x:v>SPECIFIE</x:v>
      </x:c>
    </x:row>
    <x:row r="76" ht="50" customHeight="1">
      <x:c r="B76" s="16" t="str">
        <x:v>SAB-20</x:v>
      </x:c>
      <x:c r="C76" s="16" t="str">
        <x:v>sabotage</x:v>
      </x:c>
      <x:c r="D76" s="16" t="str">
        <x:v>DISPONIBILITE!H10</x:v>
      </x:c>
      <x:c r="E76" s="16" t="str">
        <x:v>Remplacer formule par 1</x:v>
      </x:c>
      <x:c r="F76" s="16" t="str">
        <x:v>Validateur = FAIL</x:v>
      </x:c>
      <x:c r="G76" s="16" t="str">
        <x:v>Validateur externe</x:v>
      </x:c>
      <x:c r="H76" s="24" t="str">
        <x:v>SPECIFIE</x:v>
      </x:c>
    </x:row>
    <x:row r="77" ht="50" customHeight="1">
      <x:c r="B77" s="16" t="str">
        <x:v>SAB-21</x:v>
      </x:c>
      <x:c r="C77" s="16" t="str">
        <x:v>sabotage</x:v>
      </x:c>
      <x:c r="D77" s="16" t="str">
        <x:v>CHRONOLOGIE!E6</x:v>
      </x:c>
      <x:c r="E77" s="16" t="str">
        <x:v>Remplacer formule par 1</x:v>
      </x:c>
      <x:c r="F77" s="16" t="str">
        <x:v>Validateur = FAIL</x:v>
      </x:c>
      <x:c r="G77" s="16" t="str">
        <x:v>Validateur externe</x:v>
      </x:c>
      <x:c r="H77" s="24" t="str">
        <x:v>SPECIFIE</x:v>
      </x:c>
    </x:row>
    <x:row r="78" ht="50" customHeight="1">
      <x:c r="B78" s="16" t="str">
        <x:v>SAB-22</x:v>
      </x:c>
      <x:c r="C78" s="16" t="str">
        <x:v>sabotage</x:v>
      </x:c>
      <x:c r="D78" s="16" t="str">
        <x:v>CHRONOLOGIE!H6</x:v>
      </x:c>
      <x:c r="E78" s="16" t="str">
        <x:v>Remplacer formule par 1</x:v>
      </x:c>
      <x:c r="F78" s="16" t="str">
        <x:v>Validateur = FAIL</x:v>
      </x:c>
      <x:c r="G78" s="16" t="str">
        <x:v>Validateur externe</x:v>
      </x:c>
      <x:c r="H78" s="24" t="str">
        <x:v>SPECIFIE</x:v>
      </x:c>
    </x:row>
    <x:row r="79" ht="50" customHeight="1">
      <x:c r="B79" s="16" t="str">
        <x:v>SAB-23</x:v>
      </x:c>
      <x:c r="C79" s="16" t="str">
        <x:v>sabotage</x:v>
      </x:c>
      <x:c r="D79" s="16" t="str">
        <x:v>CHRONOLOGIE!E7</x:v>
      </x:c>
      <x:c r="E79" s="16" t="str">
        <x:v>Remplacer formule par 1</x:v>
      </x:c>
      <x:c r="F79" s="16" t="str">
        <x:v>Validateur = FAIL</x:v>
      </x:c>
      <x:c r="G79" s="16" t="str">
        <x:v>Validateur externe</x:v>
      </x:c>
      <x:c r="H79" s="24" t="str">
        <x:v>SPECIFIE</x:v>
      </x:c>
    </x:row>
    <x:row r="80" ht="50" customHeight="1">
      <x:c r="B80" s="16" t="str">
        <x:v>SAB-24</x:v>
      </x:c>
      <x:c r="C80" s="16" t="str">
        <x:v>sabotage</x:v>
      </x:c>
      <x:c r="D80" s="16" t="str">
        <x:v>CHRONOLOGIE!H7</x:v>
      </x:c>
      <x:c r="E80" s="16" t="str">
        <x:v>Remplacer formule par 1</x:v>
      </x:c>
      <x:c r="F80" s="16" t="str">
        <x:v>Validateur = FAIL</x:v>
      </x:c>
      <x:c r="G80" s="16" t="str">
        <x:v>Validateur externe</x:v>
      </x:c>
      <x:c r="H80" s="24" t="str">
        <x:v>SPECIFIE</x:v>
      </x:c>
    </x:row>
    <x:row r="81" ht="50" customHeight="1">
      <x:c r="B81" s="16" t="str">
        <x:v>SAB-25</x:v>
      </x:c>
      <x:c r="C81" s="16" t="str">
        <x:v>sabotage</x:v>
      </x:c>
      <x:c r="D81" s="16" t="str">
        <x:v>CHRONOLOGIE!E8</x:v>
      </x:c>
      <x:c r="E81" s="16" t="str">
        <x:v>Remplacer formule par 1</x:v>
      </x:c>
      <x:c r="F81" s="16" t="str">
        <x:v>Validateur = FAIL</x:v>
      </x:c>
      <x:c r="G81" s="16" t="str">
        <x:v>Validateur externe</x:v>
      </x:c>
      <x:c r="H81" s="24" t="str">
        <x:v>SPECIFIE</x:v>
      </x:c>
    </x:row>
    <x:row r="82" ht="50" customHeight="1">
      <x:c r="B82" s="16" t="str">
        <x:v>SAB-26</x:v>
      </x:c>
      <x:c r="C82" s="16" t="str">
        <x:v>sabotage</x:v>
      </x:c>
      <x:c r="D82" s="16" t="str">
        <x:v>CHRONOLOGIE!H8</x:v>
      </x:c>
      <x:c r="E82" s="16" t="str">
        <x:v>Remplacer formule par 1</x:v>
      </x:c>
      <x:c r="F82" s="16" t="str">
        <x:v>Validateur = FAIL</x:v>
      </x:c>
      <x:c r="G82" s="16" t="str">
        <x:v>Validateur externe</x:v>
      </x:c>
      <x:c r="H82" s="24" t="str">
        <x:v>SPECIFIE</x:v>
      </x:c>
    </x:row>
    <x:row r="83" ht="50" customHeight="1">
      <x:c r="B83" s="16" t="str">
        <x:v>SAB-27</x:v>
      </x:c>
      <x:c r="C83" s="16" t="str">
        <x:v>sabotage</x:v>
      </x:c>
      <x:c r="D83" s="16" t="str">
        <x:v>CHRONOLOGIE!E9</x:v>
      </x:c>
      <x:c r="E83" s="16" t="str">
        <x:v>Remplacer formule par 1</x:v>
      </x:c>
      <x:c r="F83" s="16" t="str">
        <x:v>Validateur = FAIL</x:v>
      </x:c>
      <x:c r="G83" s="16" t="str">
        <x:v>Validateur externe</x:v>
      </x:c>
      <x:c r="H83" s="24" t="str">
        <x:v>SPECIFIE</x:v>
      </x:c>
    </x:row>
    <x:row r="84" ht="50" customHeight="1">
      <x:c r="B84" s="16" t="str">
        <x:v>SAB-28</x:v>
      </x:c>
      <x:c r="C84" s="16" t="str">
        <x:v>sabotage</x:v>
      </x:c>
      <x:c r="D84" s="16" t="str">
        <x:v>CHRONOLOGIE!H9</x:v>
      </x:c>
      <x:c r="E84" s="16" t="str">
        <x:v>Remplacer formule par 1</x:v>
      </x:c>
      <x:c r="F84" s="16" t="str">
        <x:v>Validateur = FAIL</x:v>
      </x:c>
      <x:c r="G84" s="16" t="str">
        <x:v>Validateur externe</x:v>
      </x:c>
      <x:c r="H84" s="24" t="str">
        <x:v>SPECIFIE</x:v>
      </x:c>
    </x:row>
    <x:row r="85" ht="50" customHeight="1">
      <x:c r="B85" s="16" t="str">
        <x:v>SAB-29</x:v>
      </x:c>
      <x:c r="C85" s="16" t="str">
        <x:v>sabotage</x:v>
      </x:c>
      <x:c r="D85" s="16" t="str">
        <x:v>CHRONOLOGIE!E10</x:v>
      </x:c>
      <x:c r="E85" s="16" t="str">
        <x:v>Remplacer formule par 1</x:v>
      </x:c>
      <x:c r="F85" s="16" t="str">
        <x:v>Validateur = FAIL</x:v>
      </x:c>
      <x:c r="G85" s="16" t="str">
        <x:v>Validateur externe</x:v>
      </x:c>
      <x:c r="H85" s="24" t="str">
        <x:v>SPECIFIE</x:v>
      </x:c>
    </x:row>
    <x:row r="86" ht="50" customHeight="1">
      <x:c r="B86" s="16" t="str">
        <x:v>SAB-30</x:v>
      </x:c>
      <x:c r="C86" s="16" t="str">
        <x:v>sabotage</x:v>
      </x:c>
      <x:c r="D86" s="16" t="str">
        <x:v>CHRONOLOGIE!H10</x:v>
      </x:c>
      <x:c r="E86" s="16" t="str">
        <x:v>Remplacer formule par 1</x:v>
      </x:c>
      <x:c r="F86" s="16" t="str">
        <x:v>Validateur = FAIL</x:v>
      </x:c>
      <x:c r="G86" s="16" t="str">
        <x:v>Validateur externe</x:v>
      </x:c>
      <x:c r="H86" s="24" t="str">
        <x:v>SPECIFIE</x:v>
      </x:c>
    </x:row>
    <x:row r="87" ht="50" customHeight="1">
      <x:c r="B87" s="16" t="str">
        <x:v>SAB-31</x:v>
      </x:c>
      <x:c r="C87" s="16" t="str">
        <x:v>sabotage</x:v>
      </x:c>
      <x:c r="D87" s="16" t="str">
        <x:v>CHRONOLOGIE!E11</x:v>
      </x:c>
      <x:c r="E87" s="16" t="str">
        <x:v>Remplacer formule par 1</x:v>
      </x:c>
      <x:c r="F87" s="16" t="str">
        <x:v>Validateur = FAIL</x:v>
      </x:c>
      <x:c r="G87" s="16" t="str">
        <x:v>Validateur externe</x:v>
      </x:c>
      <x:c r="H87" s="24" t="str">
        <x:v>SPECIFIE</x:v>
      </x:c>
    </x:row>
    <x:row r="88" ht="50" customHeight="1">
      <x:c r="B88" s="16" t="str">
        <x:v>SAB-32</x:v>
      </x:c>
      <x:c r="C88" s="16" t="str">
        <x:v>sabotage</x:v>
      </x:c>
      <x:c r="D88" s="16" t="str">
        <x:v>CHRONOLOGIE!H11</x:v>
      </x:c>
      <x:c r="E88" s="16" t="str">
        <x:v>Remplacer formule par 1</x:v>
      </x:c>
      <x:c r="F88" s="16" t="str">
        <x:v>Validateur = FAIL</x:v>
      </x:c>
      <x:c r="G88" s="16" t="str">
        <x:v>Validateur externe</x:v>
      </x:c>
      <x:c r="H88" s="24" t="str">
        <x:v>SPECIFIE</x:v>
      </x:c>
    </x:row>
    <x:row r="89" ht="50" customHeight="1">
      <x:c r="B89" s="16" t="str">
        <x:v>SAB-33</x:v>
      </x:c>
      <x:c r="C89" s="16" t="str">
        <x:v>sabotage</x:v>
      </x:c>
      <x:c r="D89" s="16" t="str">
        <x:v>CHRONOLOGIE!E12</x:v>
      </x:c>
      <x:c r="E89" s="16" t="str">
        <x:v>Remplacer formule par 1</x:v>
      </x:c>
      <x:c r="F89" s="16" t="str">
        <x:v>Validateur = FAIL</x:v>
      </x:c>
      <x:c r="G89" s="16" t="str">
        <x:v>Validateur externe</x:v>
      </x:c>
      <x:c r="H89" s="24" t="str">
        <x:v>SPECIFIE</x:v>
      </x:c>
    </x:row>
    <x:row r="90" ht="50" customHeight="1">
      <x:c r="B90" s="16" t="str">
        <x:v>SAB-34</x:v>
      </x:c>
      <x:c r="C90" s="16" t="str">
        <x:v>sabotage</x:v>
      </x:c>
      <x:c r="D90" s="16" t="str">
        <x:v>CHRONOLOGIE!H12</x:v>
      </x:c>
      <x:c r="E90" s="16" t="str">
        <x:v>Remplacer formule par 1</x:v>
      </x:c>
      <x:c r="F90" s="16" t="str">
        <x:v>Validateur = FAIL</x:v>
      </x:c>
      <x:c r="G90" s="16" t="str">
        <x:v>Validateur externe</x:v>
      </x:c>
      <x:c r="H90" s="24" t="str">
        <x:v>SPECIFIE</x:v>
      </x:c>
    </x:row>
    <x:row r="91" ht="50" customHeight="1">
      <x:c r="B91" s="16" t="str">
        <x:v>SAB-35</x:v>
      </x:c>
      <x:c r="C91" s="16" t="str">
        <x:v>sabotage</x:v>
      </x:c>
      <x:c r="D91" s="16" t="str">
        <x:v>COUT_INCIDENT!G6</x:v>
      </x:c>
      <x:c r="E91" s="16" t="str">
        <x:v>Remplacer formule par 1</x:v>
      </x:c>
      <x:c r="F91" s="16" t="str">
        <x:v>Validateur = FAIL</x:v>
      </x:c>
      <x:c r="G91" s="16" t="str">
        <x:v>Validateur externe</x:v>
      </x:c>
      <x:c r="H91" s="24" t="str">
        <x:v>SPECIFIE</x:v>
      </x:c>
    </x:row>
    <x:row r="92" ht="50" customHeight="1">
      <x:c r="B92" s="16" t="str">
        <x:v>SAB-36</x:v>
      </x:c>
      <x:c r="C92" s="16" t="str">
        <x:v>sabotage</x:v>
      </x:c>
      <x:c r="D92" s="16" t="str">
        <x:v>COUT_INCIDENT!H6</x:v>
      </x:c>
      <x:c r="E92" s="16" t="str">
        <x:v>Remplacer formule par 1</x:v>
      </x:c>
      <x:c r="F92" s="16" t="str">
        <x:v>Validateur = FAIL</x:v>
      </x:c>
      <x:c r="G92" s="16" t="str">
        <x:v>Validateur externe</x:v>
      </x:c>
      <x:c r="H92" s="24" t="str">
        <x:v>SPECIFIE</x:v>
      </x:c>
    </x:row>
    <x:row r="93" ht="50" customHeight="1">
      <x:c r="B93" s="16" t="str">
        <x:v>SAB-37</x:v>
      </x:c>
      <x:c r="C93" s="16" t="str">
        <x:v>sabotage</x:v>
      </x:c>
      <x:c r="D93" s="16" t="str">
        <x:v>COUT_INCIDENT!G7</x:v>
      </x:c>
      <x:c r="E93" s="16" t="str">
        <x:v>Remplacer formule par 1</x:v>
      </x:c>
      <x:c r="F93" s="16" t="str">
        <x:v>Validateur = FAIL</x:v>
      </x:c>
      <x:c r="G93" s="16" t="str">
        <x:v>Validateur externe</x:v>
      </x:c>
      <x:c r="H93" s="24" t="str">
        <x:v>SPECIFIE</x:v>
      </x:c>
    </x:row>
    <x:row r="94" ht="50" customHeight="1">
      <x:c r="B94" s="16" t="str">
        <x:v>SAB-38</x:v>
      </x:c>
      <x:c r="C94" s="16" t="str">
        <x:v>sabotage</x:v>
      </x:c>
      <x:c r="D94" s="16" t="str">
        <x:v>COUT_INCIDENT!H7</x:v>
      </x:c>
      <x:c r="E94" s="16" t="str">
        <x:v>Remplacer formule par 1</x:v>
      </x:c>
      <x:c r="F94" s="16" t="str">
        <x:v>Validateur = FAIL</x:v>
      </x:c>
      <x:c r="G94" s="16" t="str">
        <x:v>Validateur externe</x:v>
      </x:c>
      <x:c r="H94" s="24" t="str">
        <x:v>SPECIFIE</x:v>
      </x:c>
    </x:row>
    <x:row r="95" ht="50" customHeight="1">
      <x:c r="B95" s="16" t="str">
        <x:v>SAB-39</x:v>
      </x:c>
      <x:c r="C95" s="16" t="str">
        <x:v>sabotage</x:v>
      </x:c>
      <x:c r="D95" s="16" t="str">
        <x:v>COUT_INCIDENT!G8</x:v>
      </x:c>
      <x:c r="E95" s="16" t="str">
        <x:v>Remplacer formule par 1</x:v>
      </x:c>
      <x:c r="F95" s="16" t="str">
        <x:v>Validateur = FAIL</x:v>
      </x:c>
      <x:c r="G95" s="16" t="str">
        <x:v>Validateur externe</x:v>
      </x:c>
      <x:c r="H95" s="24" t="str">
        <x:v>SPECIFIE</x:v>
      </x:c>
    </x:row>
    <x:row r="96" ht="50" customHeight="1">
      <x:c r="B96" s="16" t="str">
        <x:v>SAB-40</x:v>
      </x:c>
      <x:c r="C96" s="16" t="str">
        <x:v>sabotage</x:v>
      </x:c>
      <x:c r="D96" s="16" t="str">
        <x:v>COUT_INCIDENT!H8</x:v>
      </x:c>
      <x:c r="E96" s="16" t="str">
        <x:v>Remplacer formule par 1</x:v>
      </x:c>
      <x:c r="F96" s="16" t="str">
        <x:v>Validateur = FAIL</x:v>
      </x:c>
      <x:c r="G96" s="16" t="str">
        <x:v>Validateur externe</x:v>
      </x:c>
      <x:c r="H96" s="24" t="str">
        <x:v>SPECIFIE</x:v>
      </x:c>
    </x:row>
    <x:row r="97" ht="50" customHeight="1">
      <x:c r="B97" s="16" t="str">
        <x:v>SAB-41</x:v>
      </x:c>
      <x:c r="C97" s="16" t="str">
        <x:v>sabotage</x:v>
      </x:c>
      <x:c r="D97" s="16" t="str">
        <x:v>COUT_INCIDENT!G9</x:v>
      </x:c>
      <x:c r="E97" s="16" t="str">
        <x:v>Remplacer formule par 1</x:v>
      </x:c>
      <x:c r="F97" s="16" t="str">
        <x:v>Validateur = FAIL</x:v>
      </x:c>
      <x:c r="G97" s="16" t="str">
        <x:v>Validateur externe</x:v>
      </x:c>
      <x:c r="H97" s="24" t="str">
        <x:v>SPECIFIE</x:v>
      </x:c>
    </x:row>
    <x:row r="98" ht="50" customHeight="1">
      <x:c r="B98" s="16" t="str">
        <x:v>SAB-42</x:v>
      </x:c>
      <x:c r="C98" s="16" t="str">
        <x:v>sabotage</x:v>
      </x:c>
      <x:c r="D98" s="16" t="str">
        <x:v>COUT_INCIDENT!H9</x:v>
      </x:c>
      <x:c r="E98" s="16" t="str">
        <x:v>Remplacer formule par 1</x:v>
      </x:c>
      <x:c r="F98" s="16" t="str">
        <x:v>Validateur = FAIL</x:v>
      </x:c>
      <x:c r="G98" s="16" t="str">
        <x:v>Validateur externe</x:v>
      </x:c>
      <x:c r="H98" s="24" t="str">
        <x:v>SPECIFIE</x:v>
      </x:c>
    </x:row>
    <x:row r="99" ht="50" customHeight="1">
      <x:c r="B99" s="16" t="str">
        <x:v>SAB-43</x:v>
      </x:c>
      <x:c r="C99" s="16" t="str">
        <x:v>sabotage</x:v>
      </x:c>
      <x:c r="D99" s="16" t="str">
        <x:v>COUT_INCIDENT!G10</x:v>
      </x:c>
      <x:c r="E99" s="16" t="str">
        <x:v>Remplacer formule par 1</x:v>
      </x:c>
      <x:c r="F99" s="16" t="str">
        <x:v>Validateur = FAIL</x:v>
      </x:c>
      <x:c r="G99" s="16" t="str">
        <x:v>Validateur externe</x:v>
      </x:c>
      <x:c r="H99" s="24" t="str">
        <x:v>SPECIFIE</x:v>
      </x:c>
    </x:row>
    <x:row r="100" ht="50" customHeight="1">
      <x:c r="B100" s="16" t="str">
        <x:v>SAB-44</x:v>
      </x:c>
      <x:c r="C100" s="16" t="str">
        <x:v>sabotage</x:v>
      </x:c>
      <x:c r="D100" s="16" t="str">
        <x:v>COUT_INCIDENT!H10</x:v>
      </x:c>
      <x:c r="E100" s="16" t="str">
        <x:v>Remplacer formule par 1</x:v>
      </x:c>
      <x:c r="F100" s="16" t="str">
        <x:v>Validateur = FAIL</x:v>
      </x:c>
      <x:c r="G100" s="16" t="str">
        <x:v>Validateur externe</x:v>
      </x:c>
      <x:c r="H100" s="24" t="str">
        <x:v>SPECIFIE</x:v>
      </x:c>
    </x:row>
    <x:row r="101" ht="50" customHeight="1">
      <x:c r="B101" s="16" t="str">
        <x:v>SAB-45</x:v>
      </x:c>
      <x:c r="C101" s="16" t="str">
        <x:v>sabotage</x:v>
      </x:c>
      <x:c r="D101" s="16" t="str">
        <x:v>COUT_INCIDENT!G11</x:v>
      </x:c>
      <x:c r="E101" s="16" t="str">
        <x:v>Remplacer formule par 1</x:v>
      </x:c>
      <x:c r="F101" s="16" t="str">
        <x:v>Validateur = FAIL</x:v>
      </x:c>
      <x:c r="G101" s="16" t="str">
        <x:v>Validateur externe</x:v>
      </x:c>
      <x:c r="H101" s="24" t="str">
        <x:v>SPECIFIE</x:v>
      </x:c>
    </x:row>
    <x:row r="102" ht="50" customHeight="1">
      <x:c r="B102" s="16" t="str">
        <x:v>SAB-46</x:v>
      </x:c>
      <x:c r="C102" s="16" t="str">
        <x:v>sabotage</x:v>
      </x:c>
      <x:c r="D102" s="16" t="str">
        <x:v>COUT_INCIDENT!H11</x:v>
      </x:c>
      <x:c r="E102" s="16" t="str">
        <x:v>Remplacer formule par 1</x:v>
      </x:c>
      <x:c r="F102" s="16" t="str">
        <x:v>Validateur = FAIL</x:v>
      </x:c>
      <x:c r="G102" s="16" t="str">
        <x:v>Validateur externe</x:v>
      </x:c>
      <x:c r="H102" s="24" t="str">
        <x:v>SPECIFIE</x:v>
      </x:c>
    </x:row>
    <x:row r="103" ht="50" customHeight="1">
      <x:c r="B103" s="16" t="str">
        <x:v>SAB-47</x:v>
      </x:c>
      <x:c r="C103" s="16" t="str">
        <x:v>sabotage</x:v>
      </x:c>
      <x:c r="D103" s="16" t="str">
        <x:v>COUT_INCIDENT!G12</x:v>
      </x:c>
      <x:c r="E103" s="16" t="str">
        <x:v>Remplacer formule par 1</x:v>
      </x:c>
      <x:c r="F103" s="16" t="str">
        <x:v>Validateur = FAIL</x:v>
      </x:c>
      <x:c r="G103" s="16" t="str">
        <x:v>Validateur externe</x:v>
      </x:c>
      <x:c r="H103" s="24" t="str">
        <x:v>SPECIFIE</x:v>
      </x:c>
    </x:row>
    <x:row r="104" ht="50" customHeight="1">
      <x:c r="B104" s="16" t="str">
        <x:v>SAB-48</x:v>
      </x:c>
      <x:c r="C104" s="16" t="str">
        <x:v>sabotage</x:v>
      </x:c>
      <x:c r="D104" s="16" t="str">
        <x:v>COUT_INCIDENT!H12</x:v>
      </x:c>
      <x:c r="E104" s="16" t="str">
        <x:v>Remplacer formule par 1</x:v>
      </x:c>
      <x:c r="F104" s="16" t="str">
        <x:v>Validateur = FAIL</x:v>
      </x:c>
      <x:c r="G104" s="16" t="str">
        <x:v>Validateur externe</x:v>
      </x:c>
      <x:c r="H104" s="24" t="str">
        <x:v>SPECIFIE</x:v>
      </x:c>
    </x:row>
    <x:row r="105" ht="50" customHeight="1">
      <x:c r="B105" s="16" t="str">
        <x:v>SAB-49</x:v>
      </x:c>
      <x:c r="C105" s="16" t="str">
        <x:v>sabotage</x:v>
      </x:c>
      <x:c r="D105" s="16" t="str">
        <x:v>COUT_INCIDENT!G13</x:v>
      </x:c>
      <x:c r="E105" s="16" t="str">
        <x:v>Remplacer formule par 1</x:v>
      </x:c>
      <x:c r="F105" s="16" t="str">
        <x:v>Validateur = FAIL</x:v>
      </x:c>
      <x:c r="G105" s="16" t="str">
        <x:v>Validateur externe</x:v>
      </x:c>
      <x:c r="H105" s="24" t="str">
        <x:v>SPECIFIE</x:v>
      </x:c>
    </x:row>
    <x:row r="106" ht="50" customHeight="1">
      <x:c r="B106" s="16" t="str">
        <x:v>SAB-50</x:v>
      </x:c>
      <x:c r="C106" s="16" t="str">
        <x:v>sabotage</x:v>
      </x:c>
      <x:c r="D106" s="16" t="str">
        <x:v>COUT_INCIDENT!H13</x:v>
      </x:c>
      <x:c r="E106" s="16" t="str">
        <x:v>Remplacer formule par 1</x:v>
      </x:c>
      <x:c r="F106" s="16" t="str">
        <x:v>Validateur = FAIL</x:v>
      </x:c>
      <x:c r="G106" s="16" t="str">
        <x:v>Validateur externe</x:v>
      </x:c>
      <x:c r="H106" s="24" t="str">
        <x:v>SPECIFIE</x:v>
      </x:c>
    </x:row>
    <x:row r="107" ht="50" customHeight="1">
      <x:c r="B107" s="16" t="str">
        <x:v>SAB-51</x:v>
      </x:c>
      <x:c r="C107" s="16" t="str">
        <x:v>sabotage</x:v>
      </x:c>
      <x:c r="D107" s="16" t="str">
        <x:v>COUT_INCIDENT!C15</x:v>
      </x:c>
      <x:c r="E107" s="16" t="str">
        <x:v>Remplacer formule par 1</x:v>
      </x:c>
      <x:c r="F107" s="16" t="str">
        <x:v>Validateur = FAIL</x:v>
      </x:c>
      <x:c r="G107" s="16" t="str">
        <x:v>Validateur externe</x:v>
      </x:c>
      <x:c r="H107" s="24" t="str">
        <x:v>SPECIFIE</x:v>
      </x:c>
    </x:row>
    <x:row r="108" ht="50" customHeight="1">
      <x:c r="B108" s="16" t="str">
        <x:v>SAB-52</x:v>
      </x:c>
      <x:c r="C108" s="16" t="str">
        <x:v>sabotage</x:v>
      </x:c>
      <x:c r="D108" s="16" t="str">
        <x:v>COUT_INCIDENT!D15</x:v>
      </x:c>
      <x:c r="E108" s="16" t="str">
        <x:v>Remplacer formule par 1</x:v>
      </x:c>
      <x:c r="F108" s="16" t="str">
        <x:v>Validateur = FAIL</x:v>
      </x:c>
      <x:c r="G108" s="16" t="str">
        <x:v>Validateur externe</x:v>
      </x:c>
      <x:c r="H108" s="24" t="str">
        <x:v>SPECIFIE</x:v>
      </x:c>
    </x:row>
    <x:row r="109" ht="50" customHeight="1">
      <x:c r="B109" s="16" t="str">
        <x:v>SAB-53</x:v>
      </x:c>
      <x:c r="C109" s="16" t="str">
        <x:v>sabotage</x:v>
      </x:c>
      <x:c r="D109" s="16" t="str">
        <x:v>COUT_INCIDENT!E15</x:v>
      </x:c>
      <x:c r="E109" s="16" t="str">
        <x:v>Remplacer formule par 1</x:v>
      </x:c>
      <x:c r="F109" s="16" t="str">
        <x:v>Validateur = FAIL</x:v>
      </x:c>
      <x:c r="G109" s="16" t="str">
        <x:v>Validateur externe</x:v>
      </x:c>
      <x:c r="H109" s="24" t="str">
        <x:v>SPECIFIE</x:v>
      </x:c>
    </x:row>
    <x:row r="110" ht="50" customHeight="1">
      <x:c r="B110" s="16" t="str">
        <x:v>SAB-54</x:v>
      </x:c>
      <x:c r="C110" s="16" t="str">
        <x:v>sabotage</x:v>
      </x:c>
      <x:c r="D110" s="16" t="str">
        <x:v>COUT_INCIDENT!F15</x:v>
      </x:c>
      <x:c r="E110" s="16" t="str">
        <x:v>Remplacer formule par 1</x:v>
      </x:c>
      <x:c r="F110" s="16" t="str">
        <x:v>Validateur = FAIL</x:v>
      </x:c>
      <x:c r="G110" s="16" t="str">
        <x:v>Validateur externe</x:v>
      </x:c>
      <x:c r="H110" s="24" t="str">
        <x:v>SPECIFIE</x:v>
      </x:c>
    </x:row>
    <x:row r="111" ht="50" customHeight="1">
      <x:c r="B111" s="16" t="str">
        <x:v>SAB-55</x:v>
      </x:c>
      <x:c r="C111" s="16" t="str">
        <x:v>sabotage</x:v>
      </x:c>
      <x:c r="D111" s="16" t="str">
        <x:v>RPO_OPERATIONS!G6</x:v>
      </x:c>
      <x:c r="E111" s="16" t="str">
        <x:v>Remplacer formule par 1</x:v>
      </x:c>
      <x:c r="F111" s="16" t="str">
        <x:v>Validateur = FAIL</x:v>
      </x:c>
      <x:c r="G111" s="16" t="str">
        <x:v>Validateur externe</x:v>
      </x:c>
      <x:c r="H111" s="24" t="str">
        <x:v>SPECIFIE</x:v>
      </x:c>
    </x:row>
    <x:row r="112" ht="50" customHeight="1">
      <x:c r="B112" s="16" t="str">
        <x:v>SAB-56</x:v>
      </x:c>
      <x:c r="C112" s="16" t="str">
        <x:v>sabotage</x:v>
      </x:c>
      <x:c r="D112" s="16" t="str">
        <x:v>RPO_OPERATIONS!H6</x:v>
      </x:c>
      <x:c r="E112" s="16" t="str">
        <x:v>Remplacer formule par 1</x:v>
      </x:c>
      <x:c r="F112" s="16" t="str">
        <x:v>Validateur = FAIL</x:v>
      </x:c>
      <x:c r="G112" s="16" t="str">
        <x:v>Validateur externe</x:v>
      </x:c>
      <x:c r="H112" s="24" t="str">
        <x:v>SPECIFIE</x:v>
      </x:c>
    </x:row>
    <x:row r="113" ht="50" customHeight="1">
      <x:c r="B113" s="16" t="str">
        <x:v>SAB-57</x:v>
      </x:c>
      <x:c r="C113" s="16" t="str">
        <x:v>sabotage</x:v>
      </x:c>
      <x:c r="D113" s="16" t="str">
        <x:v>RPO_OPERATIONS!G7</x:v>
      </x:c>
      <x:c r="E113" s="16" t="str">
        <x:v>Remplacer formule par 1</x:v>
      </x:c>
      <x:c r="F113" s="16" t="str">
        <x:v>Validateur = FAIL</x:v>
      </x:c>
      <x:c r="G113" s="16" t="str">
        <x:v>Validateur externe</x:v>
      </x:c>
      <x:c r="H113" s="24" t="str">
        <x:v>SPECIFIE</x:v>
      </x:c>
    </x:row>
    <x:row r="114" ht="50" customHeight="1">
      <x:c r="B114" s="16" t="str">
        <x:v>SAB-58</x:v>
      </x:c>
      <x:c r="C114" s="16" t="str">
        <x:v>sabotage</x:v>
      </x:c>
      <x:c r="D114" s="16" t="str">
        <x:v>RPO_OPERATIONS!H7</x:v>
      </x:c>
      <x:c r="E114" s="16" t="str">
        <x:v>Remplacer formule par 1</x:v>
      </x:c>
      <x:c r="F114" s="16" t="str">
        <x:v>Validateur = FAIL</x:v>
      </x:c>
      <x:c r="G114" s="16" t="str">
        <x:v>Validateur externe</x:v>
      </x:c>
      <x:c r="H114" s="24" t="str">
        <x:v>SPECIFIE</x:v>
      </x:c>
    </x:row>
    <x:row r="115" ht="50" customHeight="1">
      <x:c r="B115" s="16" t="str">
        <x:v>SAB-59</x:v>
      </x:c>
      <x:c r="C115" s="16" t="str">
        <x:v>sabotage</x:v>
      </x:c>
      <x:c r="D115" s="16" t="str">
        <x:v>RPO_OPERATIONS!G8</x:v>
      </x:c>
      <x:c r="E115" s="16" t="str">
        <x:v>Remplacer formule par 1</x:v>
      </x:c>
      <x:c r="F115" s="16" t="str">
        <x:v>Validateur = FAIL</x:v>
      </x:c>
      <x:c r="G115" s="16" t="str">
        <x:v>Validateur externe</x:v>
      </x:c>
      <x:c r="H115" s="24" t="str">
        <x:v>SPECIFIE</x:v>
      </x:c>
    </x:row>
    <x:row r="116" ht="50" customHeight="1">
      <x:c r="B116" s="16" t="str">
        <x:v>SAB-60</x:v>
      </x:c>
      <x:c r="C116" s="16" t="str">
        <x:v>sabotage</x:v>
      </x:c>
      <x:c r="D116" s="16" t="str">
        <x:v>RPO_OPERATIONS!H8</x:v>
      </x:c>
      <x:c r="E116" s="16" t="str">
        <x:v>Remplacer formule par 1</x:v>
      </x:c>
      <x:c r="F116" s="16" t="str">
        <x:v>Validateur = FAIL</x:v>
      </x:c>
      <x:c r="G116" s="16" t="str">
        <x:v>Validateur externe</x:v>
      </x:c>
      <x:c r="H116" s="24" t="str">
        <x:v>SPECIFIE</x:v>
      </x:c>
    </x:row>
    <x:row r="117" ht="50" customHeight="1">
      <x:c r="B117" s="16" t="str">
        <x:v>SAB-61</x:v>
      </x:c>
      <x:c r="C117" s="16" t="str">
        <x:v>sabotage</x:v>
      </x:c>
      <x:c r="D117" s="16" t="str">
        <x:v>COMPARAISON_12_MOIS!C6</x:v>
      </x:c>
      <x:c r="E117" s="16" t="str">
        <x:v>Remplacer formule par 1</x:v>
      </x:c>
      <x:c r="F117" s="16" t="str">
        <x:v>Validateur = FAIL</x:v>
      </x:c>
      <x:c r="G117" s="16" t="str">
        <x:v>Validateur externe</x:v>
      </x:c>
      <x:c r="H117" s="24" t="str">
        <x:v>SPECIFIE</x:v>
      </x:c>
    </x:row>
    <x:row r="118" ht="50" customHeight="1">
      <x:c r="B118" s="16" t="str">
        <x:v>SAB-62</x:v>
      </x:c>
      <x:c r="C118" s="16" t="str">
        <x:v>sabotage</x:v>
      </x:c>
      <x:c r="D118" s="16" t="str">
        <x:v>COMPARAISON_12_MOIS!D6</x:v>
      </x:c>
      <x:c r="E118" s="16" t="str">
        <x:v>Remplacer formule par 1</x:v>
      </x:c>
      <x:c r="F118" s="16" t="str">
        <x:v>Validateur = FAIL</x:v>
      </x:c>
      <x:c r="G118" s="16" t="str">
        <x:v>Validateur externe</x:v>
      </x:c>
      <x:c r="H118" s="24" t="str">
        <x:v>SPECIFIE</x:v>
      </x:c>
    </x:row>
    <x:row r="119" ht="50" customHeight="1">
      <x:c r="B119" s="16" t="str">
        <x:v>SAB-63</x:v>
      </x:c>
      <x:c r="C119" s="16" t="str">
        <x:v>sabotage</x:v>
      </x:c>
      <x:c r="D119" s="16" t="str">
        <x:v>COMPARAISON_12_MOIS!E6</x:v>
      </x:c>
      <x:c r="E119" s="16" t="str">
        <x:v>Remplacer formule par 1</x:v>
      </x:c>
      <x:c r="F119" s="16" t="str">
        <x:v>Validateur = FAIL</x:v>
      </x:c>
      <x:c r="G119" s="16" t="str">
        <x:v>Validateur externe</x:v>
      </x:c>
      <x:c r="H119" s="24" t="str">
        <x:v>SPECIFIE</x:v>
      </x:c>
    </x:row>
    <x:row r="120" ht="50" customHeight="1">
      <x:c r="B120" s="16" t="str">
        <x:v>SAB-64</x:v>
      </x:c>
      <x:c r="C120" s="16" t="str">
        <x:v>sabotage</x:v>
      </x:c>
      <x:c r="D120" s="16" t="str">
        <x:v>COMPARAISON_12_MOIS!F6</x:v>
      </x:c>
      <x:c r="E120" s="16" t="str">
        <x:v>Remplacer formule par 1</x:v>
      </x:c>
      <x:c r="F120" s="16" t="str">
        <x:v>Validateur = FAIL</x:v>
      </x:c>
      <x:c r="G120" s="16" t="str">
        <x:v>Validateur externe</x:v>
      </x:c>
      <x:c r="H120" s="24" t="str">
        <x:v>SPECIFIE</x:v>
      </x:c>
    </x:row>
    <x:row r="121" ht="50" customHeight="1">
      <x:c r="B121" s="16" t="str">
        <x:v>SAB-65</x:v>
      </x:c>
      <x:c r="C121" s="16" t="str">
        <x:v>sabotage</x:v>
      </x:c>
      <x:c r="D121" s="16" t="str">
        <x:v>COMPARAISON_12_MOIS!G6</x:v>
      </x:c>
      <x:c r="E121" s="16" t="str">
        <x:v>Remplacer formule par 1</x:v>
      </x:c>
      <x:c r="F121" s="16" t="str">
        <x:v>Validateur = FAIL</x:v>
      </x:c>
      <x:c r="G121" s="16" t="str">
        <x:v>Validateur externe</x:v>
      </x:c>
      <x:c r="H121" s="24" t="str">
        <x:v>SPECIFIE</x:v>
      </x:c>
    </x:row>
    <x:row r="122" ht="50" customHeight="1">
      <x:c r="B122" s="16" t="str">
        <x:v>SAB-66</x:v>
      </x:c>
      <x:c r="C122" s="16" t="str">
        <x:v>sabotage</x:v>
      </x:c>
      <x:c r="D122" s="16" t="str">
        <x:v>COMPARAISON_12_MOIS!H6</x:v>
      </x:c>
      <x:c r="E122" s="16" t="str">
        <x:v>Remplacer formule par 1</x:v>
      </x:c>
      <x:c r="F122" s="16" t="str">
        <x:v>Validateur = FAIL</x:v>
      </x:c>
      <x:c r="G122" s="16" t="str">
        <x:v>Validateur externe</x:v>
      </x:c>
      <x:c r="H122" s="24" t="str">
        <x:v>SPECIFIE</x:v>
      </x:c>
    </x:row>
    <x:row r="123" ht="50" customHeight="1">
      <x:c r="B123" s="16" t="str">
        <x:v>SAB-67</x:v>
      </x:c>
      <x:c r="C123" s="16" t="str">
        <x:v>sabotage</x:v>
      </x:c>
      <x:c r="D123" s="16" t="str">
        <x:v>COMPARAISON_12_MOIS!C7</x:v>
      </x:c>
      <x:c r="E123" s="16" t="str">
        <x:v>Remplacer formule par 1</x:v>
      </x:c>
      <x:c r="F123" s="16" t="str">
        <x:v>Validateur = FAIL</x:v>
      </x:c>
      <x:c r="G123" s="16" t="str">
        <x:v>Validateur externe</x:v>
      </x:c>
      <x:c r="H123" s="24" t="str">
        <x:v>SPECIFIE</x:v>
      </x:c>
    </x:row>
    <x:row r="124" ht="50" customHeight="1">
      <x:c r="B124" s="16" t="str">
        <x:v>SAB-68</x:v>
      </x:c>
      <x:c r="C124" s="16" t="str">
        <x:v>sabotage</x:v>
      </x:c>
      <x:c r="D124" s="16" t="str">
        <x:v>COMPARAISON_12_MOIS!D7</x:v>
      </x:c>
      <x:c r="E124" s="16" t="str">
        <x:v>Remplacer formule par 1</x:v>
      </x:c>
      <x:c r="F124" s="16" t="str">
        <x:v>Validateur = FAIL</x:v>
      </x:c>
      <x:c r="G124" s="16" t="str">
        <x:v>Validateur externe</x:v>
      </x:c>
      <x:c r="H124" s="24" t="str">
        <x:v>SPECIFIE</x:v>
      </x:c>
    </x:row>
    <x:row r="125" ht="50" customHeight="1">
      <x:c r="B125" s="16" t="str">
        <x:v>SAB-69</x:v>
      </x:c>
      <x:c r="C125" s="16" t="str">
        <x:v>sabotage</x:v>
      </x:c>
      <x:c r="D125" s="16" t="str">
        <x:v>COMPARAISON_12_MOIS!E7</x:v>
      </x:c>
      <x:c r="E125" s="16" t="str">
        <x:v>Remplacer formule par 1</x:v>
      </x:c>
      <x:c r="F125" s="16" t="str">
        <x:v>Validateur = FAIL</x:v>
      </x:c>
      <x:c r="G125" s="16" t="str">
        <x:v>Validateur externe</x:v>
      </x:c>
      <x:c r="H125" s="24" t="str">
        <x:v>SPECIFIE</x:v>
      </x:c>
    </x:row>
    <x:row r="126" ht="50" customHeight="1">
      <x:c r="B126" s="16" t="str">
        <x:v>SAB-70</x:v>
      </x:c>
      <x:c r="C126" s="16" t="str">
        <x:v>sabotage</x:v>
      </x:c>
      <x:c r="D126" s="16" t="str">
        <x:v>COMPARAISON_12_MOIS!F7</x:v>
      </x:c>
      <x:c r="E126" s="16" t="str">
        <x:v>Remplacer formule par 1</x:v>
      </x:c>
      <x:c r="F126" s="16" t="str">
        <x:v>Validateur = FAIL</x:v>
      </x:c>
      <x:c r="G126" s="16" t="str">
        <x:v>Validateur externe</x:v>
      </x:c>
      <x:c r="H126" s="24" t="str">
        <x:v>SPECIFIE</x:v>
      </x:c>
    </x:row>
    <x:row r="127" ht="50" customHeight="1">
      <x:c r="B127" s="16" t="str">
        <x:v>SAB-71</x:v>
      </x:c>
      <x:c r="C127" s="16" t="str">
        <x:v>sabotage</x:v>
      </x:c>
      <x:c r="D127" s="16" t="str">
        <x:v>COMPARAISON_12_MOIS!G7</x:v>
      </x:c>
      <x:c r="E127" s="16" t="str">
        <x:v>Remplacer formule par 1</x:v>
      </x:c>
      <x:c r="F127" s="16" t="str">
        <x:v>Validateur = FAIL</x:v>
      </x:c>
      <x:c r="G127" s="16" t="str">
        <x:v>Validateur externe</x:v>
      </x:c>
      <x:c r="H127" s="24" t="str">
        <x:v>SPECIFIE</x:v>
      </x:c>
    </x:row>
    <x:row r="128" ht="50" customHeight="1">
      <x:c r="B128" s="16" t="str">
        <x:v>SAB-72</x:v>
      </x:c>
      <x:c r="C128" s="16" t="str">
        <x:v>sabotage</x:v>
      </x:c>
      <x:c r="D128" s="16" t="str">
        <x:v>COMPARAISON_12_MOIS!H7</x:v>
      </x:c>
      <x:c r="E128" s="16" t="str">
        <x:v>Remplacer formule par 1</x:v>
      </x:c>
      <x:c r="F128" s="16" t="str">
        <x:v>Validateur = FAIL</x:v>
      </x:c>
      <x:c r="G128" s="16" t="str">
        <x:v>Validateur externe</x:v>
      </x:c>
      <x:c r="H128" s="24" t="str">
        <x:v>SPECIFIE</x:v>
      </x:c>
    </x:row>
    <x:row r="129" ht="50" customHeight="1">
      <x:c r="B129" s="16" t="str">
        <x:v>SAB-73</x:v>
      </x:c>
      <x:c r="C129" s="16" t="str">
        <x:v>sabotage</x:v>
      </x:c>
      <x:c r="D129" s="16" t="str">
        <x:v>COMPARAISON_12_MOIS!C8</x:v>
      </x:c>
      <x:c r="E129" s="16" t="str">
        <x:v>Remplacer formule par 1</x:v>
      </x:c>
      <x:c r="F129" s="16" t="str">
        <x:v>Validateur = FAIL</x:v>
      </x:c>
      <x:c r="G129" s="16" t="str">
        <x:v>Validateur externe</x:v>
      </x:c>
      <x:c r="H129" s="24" t="str">
        <x:v>SPECIFIE</x:v>
      </x:c>
    </x:row>
    <x:row r="130" ht="50" customHeight="1">
      <x:c r="B130" s="16" t="str">
        <x:v>SAB-74</x:v>
      </x:c>
      <x:c r="C130" s="16" t="str">
        <x:v>sabotage</x:v>
      </x:c>
      <x:c r="D130" s="16" t="str">
        <x:v>COMPARAISON_12_MOIS!D8</x:v>
      </x:c>
      <x:c r="E130" s="16" t="str">
        <x:v>Remplacer formule par 1</x:v>
      </x:c>
      <x:c r="F130" s="16" t="str">
        <x:v>Validateur = FAIL</x:v>
      </x:c>
      <x:c r="G130" s="16" t="str">
        <x:v>Validateur externe</x:v>
      </x:c>
      <x:c r="H130" s="24" t="str">
        <x:v>SPECIFIE</x:v>
      </x:c>
    </x:row>
    <x:row r="131" ht="50" customHeight="1">
      <x:c r="B131" s="16" t="str">
        <x:v>SAB-75</x:v>
      </x:c>
      <x:c r="C131" s="16" t="str">
        <x:v>sabotage</x:v>
      </x:c>
      <x:c r="D131" s="16" t="str">
        <x:v>COMPARAISON_12_MOIS!E8</x:v>
      </x:c>
      <x:c r="E131" s="16" t="str">
        <x:v>Remplacer formule par 1</x:v>
      </x:c>
      <x:c r="F131" s="16" t="str">
        <x:v>Validateur = FAIL</x:v>
      </x:c>
      <x:c r="G131" s="16" t="str">
        <x:v>Validateur externe</x:v>
      </x:c>
      <x:c r="H131" s="24" t="str">
        <x:v>SPECIFIE</x:v>
      </x:c>
    </x:row>
    <x:row r="132" ht="50" customHeight="1">
      <x:c r="B132" s="16" t="str">
        <x:v>SAB-76</x:v>
      </x:c>
      <x:c r="C132" s="16" t="str">
        <x:v>sabotage</x:v>
      </x:c>
      <x:c r="D132" s="16" t="str">
        <x:v>COMPARAISON_12_MOIS!F8</x:v>
      </x:c>
      <x:c r="E132" s="16" t="str">
        <x:v>Remplacer formule par 1</x:v>
      </x:c>
      <x:c r="F132" s="16" t="str">
        <x:v>Validateur = FAIL</x:v>
      </x:c>
      <x:c r="G132" s="16" t="str">
        <x:v>Validateur externe</x:v>
      </x:c>
      <x:c r="H132" s="24" t="str">
        <x:v>SPECIFIE</x:v>
      </x:c>
    </x:row>
    <x:row r="133" ht="50" customHeight="1">
      <x:c r="B133" s="16" t="str">
        <x:v>SAB-77</x:v>
      </x:c>
      <x:c r="C133" s="16" t="str">
        <x:v>sabotage</x:v>
      </x:c>
      <x:c r="D133" s="16" t="str">
        <x:v>COMPARAISON_12_MOIS!G8</x:v>
      </x:c>
      <x:c r="E133" s="16" t="str">
        <x:v>Remplacer formule par 1</x:v>
      </x:c>
      <x:c r="F133" s="16" t="str">
        <x:v>Validateur = FAIL</x:v>
      </x:c>
      <x:c r="G133" s="16" t="str">
        <x:v>Validateur externe</x:v>
      </x:c>
      <x:c r="H133" s="24" t="str">
        <x:v>SPECIFIE</x:v>
      </x:c>
    </x:row>
    <x:row r="134" ht="50" customHeight="1">
      <x:c r="B134" s="16" t="str">
        <x:v>SAB-78</x:v>
      </x:c>
      <x:c r="C134" s="16" t="str">
        <x:v>sabotage</x:v>
      </x:c>
      <x:c r="D134" s="16" t="str">
        <x:v>COMPARAISON_12_MOIS!H8</x:v>
      </x:c>
      <x:c r="E134" s="16" t="str">
        <x:v>Remplacer formule par 1</x:v>
      </x:c>
      <x:c r="F134" s="16" t="str">
        <x:v>Validateur = FAIL</x:v>
      </x:c>
      <x:c r="G134" s="16" t="str">
        <x:v>Validateur externe</x:v>
      </x:c>
      <x:c r="H134" s="24" t="str">
        <x:v>SPECIFIE</x:v>
      </x:c>
    </x:row>
    <x:row r="135" ht="50" customHeight="1">
      <x:c r="B135" s="16" t="str">
        <x:v>SAB-79</x:v>
      </x:c>
      <x:c r="C135" s="16" t="str">
        <x:v>sabotage</x:v>
      </x:c>
      <x:c r="D135" s="16" t="str">
        <x:v>DECISION!C6</x:v>
      </x:c>
      <x:c r="E135" s="16" t="str">
        <x:v>Remplacer formule par 1</x:v>
      </x:c>
      <x:c r="F135" s="16" t="str">
        <x:v>Validateur = FAIL</x:v>
      </x:c>
      <x:c r="G135" s="16" t="str">
        <x:v>Validateur externe</x:v>
      </x:c>
      <x:c r="H135" s="24" t="str">
        <x:v>SPECIFIE</x:v>
      </x:c>
    </x:row>
    <x:row r="136" ht="50" customHeight="1">
      <x:c r="B136" s="16" t="str">
        <x:v>SAB-80</x:v>
      </x:c>
      <x:c r="C136" s="16" t="str">
        <x:v>sabotage</x:v>
      </x:c>
      <x:c r="D136" s="16" t="str">
        <x:v>DECISION!C7</x:v>
      </x:c>
      <x:c r="E136" s="16" t="str">
        <x:v>Remplacer formule par 1</x:v>
      </x:c>
      <x:c r="F136" s="16" t="str">
        <x:v>Validateur = FAIL</x:v>
      </x:c>
      <x:c r="G136" s="16" t="str">
        <x:v>Validateur externe</x:v>
      </x:c>
      <x:c r="H136" s="24" t="str">
        <x:v>SPECIFIE</x:v>
      </x:c>
    </x:row>
    <x:row r="137" ht="50" customHeight="1">
      <x:c r="B137" s="16" t="str">
        <x:v>SAB-81</x:v>
      </x:c>
      <x:c r="C137" s="16" t="str">
        <x:v>sabotage</x:v>
      </x:c>
      <x:c r="D137" s="16" t="str">
        <x:v>DECISION!C8</x:v>
      </x:c>
      <x:c r="E137" s="16" t="str">
        <x:v>Remplacer formule par 1</x:v>
      </x:c>
      <x:c r="F137" s="16" t="str">
        <x:v>Validateur = FAIL</x:v>
      </x:c>
      <x:c r="G137" s="16" t="str">
        <x:v>Validateur externe</x:v>
      </x:c>
      <x:c r="H137" s="24" t="str">
        <x:v>SPECIFIE</x:v>
      </x:c>
    </x:row>
    <x:row r="138" ht="50" customHeight="1">
      <x:c r="B138" s="16" t="str">
        <x:v>SAB-82</x:v>
      </x:c>
      <x:c r="C138" s="16" t="str">
        <x:v>sabotage</x:v>
      </x:c>
      <x:c r="D138" s="16" t="str">
        <x:v>DECISION!C9</x:v>
      </x:c>
      <x:c r="E138" s="16" t="str">
        <x:v>Remplacer formule par 1</x:v>
      </x:c>
      <x:c r="F138" s="16" t="str">
        <x:v>Validateur = FAIL</x:v>
      </x:c>
      <x:c r="G138" s="16" t="str">
        <x:v>Validateur externe</x:v>
      </x:c>
      <x:c r="H138" s="24" t="str">
        <x:v>SPECIFIE</x:v>
      </x:c>
    </x:row>
    <x:row r="139" ht="50" customHeight="1">
      <x:c r="B139" s="16" t="str">
        <x:v>SAB-83</x:v>
      </x:c>
      <x:c r="C139" s="16" t="str">
        <x:v>sabotage</x:v>
      </x:c>
      <x:c r="D139" s="16" t="str">
        <x:v>DECISION!C10</x:v>
      </x:c>
      <x:c r="E139" s="16" t="str">
        <x:v>Remplacer formule par 1</x:v>
      </x:c>
      <x:c r="F139" s="16" t="str">
        <x:v>Validateur = FAIL</x:v>
      </x:c>
      <x:c r="G139" s="16" t="str">
        <x:v>Validateur externe</x:v>
      </x:c>
      <x:c r="H139" s="24" t="str">
        <x:v>SPECIFIE</x:v>
      </x:c>
    </x:row>
    <x:row r="140" ht="50" customHeight="1">
      <x:c r="B140" s="16" t="str">
        <x:v>SAB-84</x:v>
      </x:c>
      <x:c r="C140" s="16" t="str">
        <x:v>sabotage</x:v>
      </x:c>
      <x:c r="D140" s="16" t="str">
        <x:v>DECISION!C11</x:v>
      </x:c>
      <x:c r="E140" s="16" t="str">
        <x:v>Remplacer formule par 1</x:v>
      </x:c>
      <x:c r="F140" s="16" t="str">
        <x:v>Validateur = FAIL</x:v>
      </x:c>
      <x:c r="G140" s="16" t="str">
        <x:v>Validateur externe</x:v>
      </x:c>
      <x:c r="H140" s="24" t="str">
        <x:v>SPECIFIE</x:v>
      </x:c>
    </x:row>
    <x:row r="141" ht="50" customHeight="1">
      <x:c r="B141" s="16" t="str">
        <x:v>SAB-85</x:v>
      </x:c>
      <x:c r="C141" s="16" t="str">
        <x:v>sabotage</x:v>
      </x:c>
      <x:c r="D141" s="16" t="str">
        <x:v>DECISION!C12</x:v>
      </x:c>
      <x:c r="E141" s="16" t="str">
        <x:v>Remplacer formule par 1</x:v>
      </x:c>
      <x:c r="F141" s="16" t="str">
        <x:v>Validateur = FAIL</x:v>
      </x:c>
      <x:c r="G141" s="16" t="str">
        <x:v>Validateur externe</x:v>
      </x:c>
      <x:c r="H141" s="24" t="str">
        <x:v>SPECIFIE</x:v>
      </x:c>
    </x:row>
    <x:row r="142" ht="50" customHeight="1">
      <x:c r="B142" s="16" t="str">
        <x:v>SAB-86</x:v>
      </x:c>
      <x:c r="C142" s="16" t="str">
        <x:v>sabotage</x:v>
      </x:c>
      <x:c r="D142" s="16" t="str">
        <x:v>DECISION!C13</x:v>
      </x:c>
      <x:c r="E142" s="16" t="str">
        <x:v>Remplacer formule par 1</x:v>
      </x:c>
      <x:c r="F142" s="16" t="str">
        <x:v>Validateur = FAIL</x:v>
      </x:c>
      <x:c r="G142" s="16" t="str">
        <x:v>Validateur externe</x:v>
      </x:c>
      <x:c r="H142" s="24" t="str">
        <x:v>SPECIFIE</x:v>
      </x:c>
    </x:row>
    <x:row r="143" ht="50" customHeight="1">
      <x:c r="B143" s="16" t="str">
        <x:v>SAB-87</x:v>
      </x:c>
      <x:c r="C143" s="16" t="str">
        <x:v>sabotage</x:v>
      </x:c>
      <x:c r="D143" s="16" t="str">
        <x:v>DECISION!C14</x:v>
      </x:c>
      <x:c r="E143" s="16" t="str">
        <x:v>Remplacer formule par 1</x:v>
      </x:c>
      <x:c r="F143" s="16" t="str">
        <x:v>Validateur = FAIL</x:v>
      </x:c>
      <x:c r="G143" s="16" t="str">
        <x:v>Validateur externe</x:v>
      </x:c>
      <x:c r="H143" s="24" t="str">
        <x:v>SPECIFIE</x:v>
      </x:c>
    </x:row>
    <x:row r="144" ht="50" customHeight="1">
      <x:c r="B144" s="16" t="str">
        <x:v>SAB-88</x:v>
      </x:c>
      <x:c r="C144" s="16" t="str">
        <x:v>sabotage</x:v>
      </x:c>
      <x:c r="D144" s="16" t="str">
        <x:v>DECISION!C15</x:v>
      </x:c>
      <x:c r="E144" s="16" t="str">
        <x:v>Remplacer formule par 1</x:v>
      </x:c>
      <x:c r="F144" s="16" t="str">
        <x:v>Validateur = FAIL</x:v>
      </x:c>
      <x:c r="G144" s="16" t="str">
        <x:v>Validateur externe</x:v>
      </x:c>
      <x:c r="H144" s="24" t="str">
        <x:v>SPECIFIE</x:v>
      </x:c>
    </x:row>
    <x:row r="145" ht="50" customHeight="1">
      <x:c r="B145" s="16" t="str">
        <x:v>SAB-89</x:v>
      </x:c>
      <x:c r="C145" s="16" t="str">
        <x:v>sabotage</x:v>
      </x:c>
      <x:c r="D145" s="16" t="str">
        <x:v>DECISION!C16</x:v>
      </x:c>
      <x:c r="E145" s="16" t="str">
        <x:v>Remplacer formule par 1</x:v>
      </x:c>
      <x:c r="F145" s="16" t="str">
        <x:v>Validateur = FAIL</x:v>
      </x:c>
      <x:c r="G145" s="16" t="str">
        <x:v>Validateur externe</x:v>
      </x:c>
      <x:c r="H145" s="24" t="str">
        <x:v>SPECIFIE</x:v>
      </x:c>
    </x:row>
    <x:row r="146" ht="50" customHeight="1">
      <x:c r="B146" s="17" t="str">
        <x:v>SAB-90</x:v>
      </x:c>
      <x:c r="C146" s="17" t="str">
        <x:v>sabotage</x:v>
      </x:c>
      <x:c r="D146" s="17" t="str">
        <x:v>DECISION!C17</x:v>
      </x:c>
      <x:c r="E146" s="17" t="str">
        <x:v>Remplacer formule par 1</x:v>
      </x:c>
      <x:c r="F146" s="17" t="str">
        <x:v>Validateur = FAIL</x:v>
      </x:c>
      <x:c r="G146" s="17" t="str">
        <x:v>Validateur externe</x:v>
      </x:c>
      <x:c r="H146" s="41" t="str">
        <x:v>SPECIFIE</x:v>
      </x:c>
    </x:row>
  </x:sheetData>
  <x:mergeCells>
    <x:mergeCell ref="A1:H2"/>
    <x:mergeCell ref="A3:H3"/>
  </x:mergeCells>
  <x:dataValidations count="1">
    <x:dataValidation type="list" sqref="H6:H146">
      <x:formula1>"ND,DECLARE,VERIFIE,ECHEC,NA"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a29f4b0542487b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  <x:selection pane="bottomRight"/>
    </x:sheetView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 ht="28" customHeight="1">
      <x:c r="A1" s="3" t="str">
        <x:v>SOURCES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32" customHeight="1">
      <x:c r="A3" s="7" t="str">
        <x:v>Quinze sources officielles et limites d’usage — EXEMPLE FICTIF — arrêté 2026-07-28</x:v>
      </x:c>
      <x:c r="B3" s="7"/>
      <x:c r="C3" s="7"/>
      <x:c r="D3" s="7"/>
      <x:c r="E3" s="7"/>
      <x:c r="F3" s="7"/>
      <x:c r="G3" s="7"/>
      <x:c r="H3" s="7"/>
    </x:row>
    <x:row r="5" ht="34" customHeight="1">
      <x:c r="B5" s="11" t="str">
        <x:v>ID</x:v>
      </x:c>
      <x:c r="C5" s="11" t="str">
        <x:v>Organisme</x:v>
      </x:c>
      <x:c r="D5" s="11" t="str">
        <x:v>Titre</x:v>
      </x:c>
      <x:c r="E5" s="11" t="str">
        <x:v>URL officielle</x:v>
      </x:c>
      <x:c r="F5" s="11" t="str">
        <x:v>Consulté</x:v>
      </x:c>
      <x:c r="G5" s="11" t="str">
        <x:v>Usage</x:v>
      </x:c>
      <x:c r="H5" s="11" t="str">
        <x:v>Limite</x:v>
      </x:c>
      <x:c r="I5" s="11" t="str">
        <x:v>Statut</x:v>
      </x:c>
    </x:row>
    <x:row r="6" ht="100" customHeight="1">
      <x:c r="B6" s="16" t="str">
        <x:v>GOOGLE-SRE-SLO</x:v>
      </x:c>
      <x:c r="C6" s="16" t="str">
        <x:v>Google Site Reliability Engineering</x:v>
      </x:c>
      <x:c r="D6" s="16" t="str">
        <x:v>Site Reliability Workbook — Chapter 2: Implementing SLOs (2018)</x:v>
      </x:c>
      <x:c r="E6" s="42" t="str">
        <x:v>https://sre.google/workbook/implementing-slos/</x:v>
      </x:c>
      <x:c r="F6" s="16" t="str">
        <x:v>2026-07-28</x:v>
      </x:c>
      <x:c r="G6" s="16" t="str">
        <x:v>Construire des SLI centrés utilisateur, faire approuver des SLO réalistes, suivre un error budget et relier la fiabilité aux décisions.</x:v>
      </x:c>
      <x:c r="H6" s="16" t="str">
        <x:v>Méthode SRE internationale, pas modèle de contrat français, certification, taux universel ni délai P1 prêt à copier.</x:v>
      </x:c>
      <x:c r="I6" s="16" t="str">
        <x:v>VERIFIE</x:v>
      </x:c>
    </x:row>
    <x:row r="7" ht="100" customHeight="1">
      <x:c r="B7" s="16" t="str">
        <x:v>GOOGLE-MAPS-SLA</x:v>
      </x:c>
      <x:c r="C7" s="16" t="str">
        <x:v>Google Cloud</x:v>
      </x:c>
      <x:c r="D7" s="16" t="str">
        <x:v>Google Maps Platform Service Level Agreement — version modifiée le 27 janvier 2025</x:v>
      </x:c>
      <x:c r="E7" s="42" t="str">
        <x:v>https://cloud.google.com/maps-platform/terms/sla</x:v>
      </x:c>
      <x:c r="F7" s="16" t="str">
        <x:v>2026-07-28</x:v>
      </x:c>
      <x:c r="G7" s="16" t="str">
        <x:v>Exemple contractuel public définissant service couvert, requête valide, échec, formule mensuelle, exclusions, demande et crédit.</x:v>
      </x:c>
      <x:c r="H7" s="16" t="str">
        <x:v>SLA propre aux services Google Maps couverts et à leurs contrats ; son taux, sa mesure par requêtes et ses crédits ne se transposent pas à une TMA.</x:v>
      </x:c>
      <x:c r="I7" s="16" t="str">
        <x:v>VERIFIE</x:v>
      </x:c>
    </x:row>
    <x:row r="8" ht="100" customHeight="1">
      <x:c r="B8" s="16" t="str">
        <x:v>NIST-RTO</x:v>
      </x:c>
      <x:c r="C8" s="16" t="str">
        <x:v>National Institute of Standards and Technology</x:v>
      </x:c>
      <x:c r="D8" s="16" t="str">
        <x:v>Recovery Time Objective — définition issue de NIST SP 800-34 Rev. 1 (mai 2010)</x:v>
      </x:c>
      <x:c r="E8" s="42" t="str">
        <x:v>https://csrc.nist.gov/glossary/term/recovery_time_objective</x:v>
      </x:c>
      <x:c r="F8" s="16" t="str">
        <x:v>2026-07-28</x:v>
      </x:c>
      <x:c r="G8" s="16" t="str">
        <x:v>Distinguer l’objectif de temps de reprise de la réponse, du contournement, du rétablissement technique et de la clôture.</x:v>
      </x:c>
      <x:c r="H8" s="16" t="str">
        <x:v>Le glossaire agrège plusieurs contextes et demande de citer la publication source ; SP 800-34 Rev. 1 vise les systèmes d’information fédéraux américains et ne fixe aucun seuil universel.</x:v>
      </x:c>
      <x:c r="I8" s="16" t="str">
        <x:v>VERIFIE</x:v>
      </x:c>
    </x:row>
    <x:row r="9" ht="100" customHeight="1">
      <x:c r="B9" s="16" t="str">
        <x:v>NIST-RPO</x:v>
      </x:c>
      <x:c r="C9" s="16" t="str">
        <x:v>National Institute of Standards and Technology</x:v>
      </x:c>
      <x:c r="D9" s="16" t="str">
        <x:v>Recovery Point Objective — définition issue de NIST SP 800-34 Rev. 1 (mai 2010)</x:v>
      </x:c>
      <x:c r="E9" s="42" t="str">
        <x:v>https://csrc.nist.gov/glossary/term/recovery_point_objective</x:v>
      </x:c>
      <x:c r="F9" s="16" t="str">
        <x:v>2026-07-28</x:v>
      </x:c>
      <x:c r="G9" s="16" t="str">
        <x:v>Définir le point dans le temps auquel les données doivent être récupérées, puis traduire l’écart en opérations à reconstituer.</x:v>
      </x:c>
      <x:c r="H9" s="16" t="str">
        <x:v>La définition ne prouve ni l’existence d’une sauvegarde exploitable, ni sa cohérence, ni la capacité de ressaisie ; le contexte de la publication source reste déterminant.</x:v>
      </x:c>
      <x:c r="I9" s="16" t="str">
        <x:v>VERIFIE</x:v>
      </x:c>
    </x:row>
    <x:row r="10" ht="100" customHeight="1">
      <x:c r="B10" s="16" t="str">
        <x:v>ANSSI-BACKUP-2025</x:v>
      </x:c>
      <x:c r="C10" s="16" t="str">
        <x:v>Agence nationale de la sécurité des systèmes d’information</x:v>
      </x:c>
      <x:c r="D10" s="16" t="str">
        <x:v>Sauvegarde des systèmes d’information — version 1.1, ANSSI-BP-100, 27 novembre 2025</x:v>
      </x:c>
      <x:c r="E10" s="42" t="str">
        <x:v>https://messervices.cyber.gouv.fr/documents-guides/anssi_fondamentaux_sauvegarde_systemes_dinformation_v1.1.pdf</x:v>
      </x:c>
      <x:c r="F10" s="16" t="str">
        <x:v>2026-07-28</x:v>
      </x:c>
      <x:c r="G10" s="16" t="str">
        <x:v>Relier besoins métier, PDMA/RPO, DMIA/RTO, stratégie de sauvegarde, isolement, restauration, contrôle et responsabilités.</x:v>
      </x:c>
      <x:c r="H10" s="16" t="str">
        <x:v>Guide de sécurité et de continuité, pas clause SLA, avis juridique, obligation identique pour toute organisation ni preuve qu’une restauration donnée a réussi.</x:v>
      </x:c>
      <x:c r="I10" s="16" t="str">
        <x:v>VERIFIE</x:v>
      </x:c>
    </x:row>
    <x:row r="11" ht="100" customHeight="1">
      <x:c r="B11" s="16" t="str">
        <x:v>LEGIFRANCE-1103</x:v>
      </x:c>
      <x:c r="C11" s="16" t="str">
        <x:v>Légifrance</x:v>
      </x:c>
      <x:c r="D11" s="16" t="str">
        <x:v>Code civil — article 1103, version en vigueur depuis le 1er octobre 2016</x:v>
      </x:c>
      <x:c r="E11" s="42" t="str">
        <x:v>https://www.legifrance.gouv.fr/codes/article_lc/LEGIARTI000032040777/</x:v>
      </x:c>
      <x:c r="F11" s="16" t="str">
        <x:v>2026-07-28</x:v>
      </x:c>
      <x:c r="G11" s="16" t="str">
        <x:v>Rappeler la force obligatoire des contrats légalement formés et l’importance de définir précisément service, mesure, délais, exclusions et responsabilités.</x:v>
      </x:c>
      <x:c r="H11" s="16" t="str">
        <x:v>Ne dit pas comment rédiger un SLA, ne valide aucune clause concrète et ne remplace pas la revue du contrat, du droit applicable et des faits par un juriste.</x:v>
      </x:c>
      <x:c r="I11" s="16" t="str">
        <x:v>VERIFIE</x:v>
      </x:c>
    </x:row>
    <x:row r="12" ht="100" customHeight="1">
      <x:c r="B12" s="16" t="str">
        <x:v>LEGIFRANCE-1217</x:v>
      </x:c>
      <x:c r="C12" s="16" t="str">
        <x:v>Légifrance</x:v>
      </x:c>
      <x:c r="D12" s="16" t="str">
        <x:v>Code civil — article 1217, version en vigueur depuis le 1er octobre 2018</x:v>
      </x:c>
      <x:c r="E12" s="42" t="str">
        <x:v>https://www.legifrance.gouv.fr/codes/article_lc/LEGIARTI000036829854/</x:v>
      </x:c>
      <x:c r="F12" s="16" t="str">
        <x:v>2026-07-28</x:v>
      </x:c>
      <x:c r="G12" s="16" t="str">
        <x:v>Montrer que les conséquences possibles d’une inexécution ne se résument pas conceptuellement à un crédit de service.</x:v>
      </x:c>
      <x:c r="H12" s="16" t="str">
        <x:v>Les sanctions disponibles, leur compatibilité, les clauses limitatives, le préjudice, la causalité et la preuve dépendent du contrat et du cas ; aucun droit à indemnisation n’est déduit par l’outil.</x:v>
      </x:c>
      <x:c r="I12" s="16" t="str">
        <x:v>VERIFIE</x:v>
      </x:c>
    </x:row>
    <x:row r="13" ht="100" customHeight="1">
      <x:c r="B13" s="16" t="str">
        <x:v>UK-SOFTWARE-CODE-2026</x:v>
      </x:c>
      <x:c r="C13" s="16" t="str">
        <x:v>UK Department for Science, Innovation and Technology</x:v>
      </x:c>
      <x:c r="D13" s="16" t="str">
        <x:v>Software Security Code of Practice — mise à jour du 15 janvier 2026</x:v>
      </x:c>
      <x:c r="E13" s="42" t="str">
        <x:v>https://www.gov.uk/government/publications/software-security-code-of-practice/software-security-code-of-practice</x:v>
      </x:c>
      <x:c r="F13" s="16" t="str">
        <x:v>2026-07-28</x:v>
      </x:c>
      <x:c r="G13" s="16" t="str">
        <x:v>Encadrer maintenance sécurisée, mises à jour, support, fin de support, responsabilités et communication d’incident des fournisseurs de logiciels B2B.</x:v>
      </x:c>
      <x:c r="H13" s="16" t="str">
        <x:v>Code britannique volontaire centré sur la sécurité et la résilience des logiciels ; il n’est ni du droit français, ni une couverture complète de la maintenance fonctionnelle.</x:v>
      </x:c>
      <x:c r="I13" s="16" t="str">
        <x:v>VERIFIE</x:v>
      </x:c>
    </x:row>
    <x:row r="14" ht="100" customHeight="1">
      <x:c r="B14" s="16" t="str">
        <x:v>NCSC-APC</x:v>
      </x:c>
      <x:c r="C14" s="16" t="str">
        <x:v>UK National Cyber Security Centre</x:v>
      </x:c>
      <x:c r="D14" s="16" t="str">
        <x:v>Software Security Code of Practice — Assurance Principles and Claims, version 1.0 du 7 mai 2025</x:v>
      </x:c>
      <x:c r="E14" s="42" t="str">
        <x:v>https://www.ncsc.gov.uk/guidance/software-security-code-of-practice-assurance-principles-claims</x:v>
      </x:c>
      <x:c r="F14" s="16" t="str">
        <x:v>2026-07-28</x:v>
      </x:c>
      <x:c r="G14" s="16" t="str">
        <x:v>Transformer les promesses de maintenance, correctifs, support, fin de support et communication en claims reliés à des preuves vérifiables.</x:v>
      </x:c>
      <x:c r="H14" s="16" t="str">
        <x:v>Auto-évaluation flexible d’un socle cyber ; une déclaration ou un document non testé ne prouve pas à lui seul la performance opérationnelle ni la conformité contractuelle.</x:v>
      </x:c>
      <x:c r="I14" s="16" t="str">
        <x:v>VERIFIE</x:v>
      </x:c>
    </x:row>
    <x:row r="15" ht="100" customHeight="1">
      <x:c r="B15" s="16" t="str">
        <x:v>BSI-BACKUP</x:v>
      </x:c>
      <x:c r="C15" s="16" t="str">
        <x:v>Bundesamt für Sicherheit in der Informationstechnik</x:v>
      </x:c>
      <x:c r="D15" s="16" t="str">
        <x:v>IT-Grundschutz Compendium — édition anglaise 2022, module CON.3 Backup Concept</x:v>
      </x:c>
      <x:c r="E15" s="42" t="str">
        <x:v>https://www.bsi.bund.de/SharedDocs/Downloads/EN/BSI/Grundschutz/International/bsi_it_gs_comp_2022.pdf?__blob=publicationFile&amp;v=2</x:v>
      </x:c>
      <x:c r="F15" s="16" t="str">
        <x:v>2026-07-28</x:v>
      </x:c>
      <x:c r="G15" s="16" t="str">
        <x:v>Qualifier facteurs d’influence, fréquence, responsabilités, procédures, tests de restauration et alignement des sauvegardes avec les processus.</x:v>
      </x:c>
      <x:c r="H15" s="16" t="str">
        <x:v>Référence à l’édition anglaise 2022, distincte des éditions allemandes ultérieures ; module de sécurité, pas SLA, certification automatique ni seuil RPO/RTO prêt à copier.</x:v>
      </x:c>
      <x:c r="I15" s="16" t="str">
        <x:v>VERIFIE</x:v>
      </x:c>
    </x:row>
    <x:row r="16" ht="100" customHeight="1">
      <x:c r="B16" s="16" t="str">
        <x:v>DORA-ART11-12</x:v>
      </x:c>
      <x:c r="C16" s="16" t="str">
        <x:v>Union européenne — EUR-Lex</x:v>
      </x:c>
      <x:c r="D16" s="16" t="str">
        <x:v>Règlement (UE) 2022/2554 — DORA, articles 11 et 12, JO du 27 décembre 2022</x:v>
      </x:c>
      <x:c r="E16" s="42" t="str">
        <x:v>https://eur-lex.europa.eu/eli/reg/2022/2554/oj?locale=fr</x:v>
      </x:c>
      <x:c r="F16" s="16" t="str">
        <x:v>2026-07-28</x:v>
      </x:c>
      <x:c r="G16" s="16" t="str">
        <x:v>Illustrer, pour les entités financières dans le champ, les politiques de continuité TIC, tests, réponse, reprise, sauvegarde, restauration et perte limitée.</x:v>
      </x:c>
      <x:c r="H16" s="16" t="str">
        <x:v>Périmètre sectoriel financier et exemptions à qualifier ; ne s’applique pas à toute PME, ne commande pas automatiquement du 24/7 et ne remplace pas une analyse juridique.</x:v>
      </x:c>
      <x:c r="I16" s="16" t="str">
        <x:v>VERIFIE</x:v>
      </x:c>
    </x:row>
    <x:row r="17" ht="100" customHeight="1">
      <x:c r="B17" s="16" t="str">
        <x:v>ISO-27031-2025</x:v>
      </x:c>
      <x:c r="C17" s="16" t="str">
        <x:v>International Organization for Standardization</x:v>
      </x:c>
      <x:c r="D17" s="16" t="str">
        <x:v>ISO/IEC 27031:2025 — édition 2, mai 2025</x:v>
      </x:c>
      <x:c r="E17" s="42" t="str">
        <x:v>https://www.iso.org/standard/27031</x:v>
      </x:c>
      <x:c r="F17" s="16" t="str">
        <x:v>2026-07-28</x:v>
      </x:c>
      <x:c r="G17" s="16" t="str">
        <x:v>Aligner la préparation des technologies de l’information et de la communication sur les objectifs de continuité métier et les dépendances externes.</x:v>
      </x:c>
      <x:c r="H17" s="16" t="str">
        <x:v>La page publique ne contient pas tout le texte normatif ; guide international volontaire, pas certification implicite, droit applicable ni niveau de service universel.</x:v>
      </x:c>
      <x:c r="I17" s="16" t="str">
        <x:v>VERIFIE</x:v>
      </x:c>
    </x:row>
    <x:row r="18" ht="100" customHeight="1">
      <x:c r="B18" s="16" t="str">
        <x:v>ISO-20000-1</x:v>
      </x:c>
      <x:c r="C18" s="16" t="str">
        <x:v>International Organization for Standardization</x:v>
      </x:c>
      <x:c r="D18" s="16" t="str">
        <x:v>ISO/IEC 20000-1:2018 — édition 3, confirmée en 2023, amendement 1:2024</x:v>
      </x:c>
      <x:c r="E18" s="42" t="str">
        <x:v>https://www.iso.org/standard/70636.html</x:v>
      </x:c>
      <x:c r="F18" s="16" t="str">
        <x:v>2026-07-28</x:v>
      </x:c>
      <x:c r="G18" s="16" t="str">
        <x:v>Structurer un système de management des services couvrant planification, conception, transition, fourniture, mesure, revue et amélioration.</x:v>
      </x:c>
      <x:c r="H18" s="16" t="str">
        <x:v>Exigences de système de management, pas catalogue de délais ou prix ; la conformité et la certification exigent un périmètre et une évaluation distincts.</x:v>
      </x:c>
      <x:c r="I18" s="16" t="str">
        <x:v>VERIFIE</x:v>
      </x:c>
    </x:row>
    <x:row r="19" ht="100" customHeight="1">
      <x:c r="B19" s="16" t="str">
        <x:v>ISO-22301</x:v>
      </x:c>
      <x:c r="C19" s="16" t="str">
        <x:v>International Organization for Standardization</x:v>
      </x:c>
      <x:c r="D19" s="16" t="str">
        <x:v>ISO 22301:2019 — édition 2 avec amendement 1:2024</x:v>
      </x:c>
      <x:c r="E19" s="42" t="str">
        <x:v>https://www.iso.org/standard/75106.html</x:v>
      </x:c>
      <x:c r="F19" s="16" t="str">
        <x:v>2026-07-28</x:v>
      </x:c>
      <x:c r="G19" s="16" t="str">
        <x:v>Fonder l’analyse d’impact, les objectifs de continuité, les plans, exercices, revues et amélioration sur les besoins propres de l’organisation.</x:v>
      </x:c>
      <x:c r="H19" s="16" t="str">
        <x:v>Édition publiée mais en révision au gel 2026 ; norme de management volontaire, pas seuil SLA automatique ni preuve qu’un dispositif concret fonctionne.</x:v>
      </x:c>
      <x:c r="I19" s="16" t="str">
        <x:v>VERIFIE</x:v>
      </x:c>
    </x:row>
    <x:row r="20" ht="100" customHeight="1">
      <x:c r="B20" s="17" t="str">
        <x:v>ASD-ESSENTIAL-EIGHT</x:v>
      </x:c>
      <x:c r="C20" s="17" t="str">
        <x:v>Australian Signals Directorate — Australian Cyber Security Centre</x:v>
      </x:c>
      <x:c r="D20" s="17" t="str">
        <x:v>Essential Eight Maturity Model — édition de novembre 2023</x:v>
      </x:c>
      <x:c r="E20" s="43" t="str">
        <x:v>https://www.cyber.gov.au/business-government/asds-cyber-security-frameworks/essential-eight/essential-eight-maturity-model</x:v>
      </x:c>
      <x:c r="F20" s="17" t="str">
        <x:v>2026-07-28</x:v>
      </x:c>
      <x:c r="G20" s="17" t="str">
        <x:v>Benchmarker correctifs applicatifs et systèmes, sauvegardes régulières, restauration et niveaux de maturité face à des menaces croissantes.</x:v>
      </x:c>
      <x:c r="H20" s="17" t="str">
        <x:v>Référentiel cyber australien pour réseaux informatiques connectés ; ne garantit pas la protection contre toute menace et n’est ni droit français ni SLA de maintenance.</x:v>
      </x:c>
      <x:c r="I20" s="17" t="str">
        <x:v>VERIFIE</x:v>
      </x:c>
    </x:row>
  </x:sheetData>
  <x:mergeCells>
    <x:mergeCell ref="A1:H2"/>
    <x:mergeCell ref="A3:H3"/>
  </x:mergeCells>
  <x:dataValidations count="1">
    <x:dataValidation type="list" sqref="I6:I20">
      <x:formula1>"ND,DECLARE,VERIFIE,ECHEC,NA"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0e9db9326d4359"/>
  </x:tableParts>
</x:worksheet>
</file>