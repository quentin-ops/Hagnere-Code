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e9430bf49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D_ABORD" sheetId="1" r:id="Rdb42292cced84af0"/>
    <x:sheet xmlns:r="http://schemas.openxmlformats.org/officeDocument/2006/relationships" name="REGISTRE" sheetId="2" r:id="R09ceaba1cea847d1"/>
    <x:sheet xmlns:r="http://schemas.openxmlformats.org/officeDocument/2006/relationships" name="CRITICITE" sheetId="3" r:id="R29f19fdca8634b90"/>
    <x:sheet xmlns:r="http://schemas.openxmlformats.org/officeDocument/2006/relationships" name="RTO_RPO" sheetId="4" r:id="Rf02c116f4bf24225"/>
    <x:sheet xmlns:r="http://schemas.openxmlformats.org/officeDocument/2006/relationships" name="TCO_36_MOIS" sheetId="5" r:id="Rcd5bbc9220664db3"/>
    <x:sheet xmlns:r="http://schemas.openxmlformats.org/officeDocument/2006/relationships" name="DECISION" sheetId="6" r:id="Rb442e236fa2846d5"/>
    <x:sheet xmlns:r="http://schemas.openxmlformats.org/officeDocument/2006/relationships" name="PLAN_SORTIE" sheetId="7" r:id="Rcd694c89ef2844f4"/>
    <x:sheet xmlns:r="http://schemas.openxmlformats.org/officeDocument/2006/relationships" name="TESTS" sheetId="8" r:id="Rc52983592ef14266"/>
    <x:sheet xmlns:r="http://schemas.openxmlformats.org/officeDocument/2006/relationships" name="CONTROLES" sheetId="9" r:id="R4a1ae7c6ce6448d5"/>
    <x:sheet xmlns:r="http://schemas.openxmlformats.org/officeDocument/2006/relationships" name="SOURCES" sheetId="10" r:id="R3156fa7c9adf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.00"/>
    <x:numFmt numFmtId="202" formatCode="#,##0 &quot;€&quot;;[Red](#,##0 &quot;€&quot;);-"/>
    <x:numFmt numFmtId="203" formatCode="0.00 &quot;h&quot;"/>
    <x:numFmt numFmtId="204" formatCode="0"/>
  </x:numFmts>
  <x:fonts count="11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61616B"/>
      <x:name val="Carlito"/>
    </x:font>
    <x:font>
      <x:b/>
      <x:sz val="11"/>
      <x:color rgb="FF18181B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b/>
      <x:sz val="11"/>
      <x:color rgb="FF1E3A8A"/>
      <x:name val="Carlito"/>
    </x:font>
    <x:font>
      <x:b/>
      <x:sz val="11"/>
      <x:color rgb="FFBE123C"/>
      <x:name val="Carlito"/>
    </x:font>
    <x:font>
      <x:sz val="11"/>
      <x:color rgb="FF18181B"/>
      <x:name val="Carlito"/>
    </x:font>
    <x:font>
      <x:b/>
      <x:sz val="16"/>
      <x:color rgb="FF047857"/>
      <x:name val="Carlito"/>
    </x:font>
    <x:font>
      <x:sz val="11"/>
      <x:color rgb="FF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181B"/>
      </x:patternFill>
    </x:fill>
    <x:fill>
      <x:patternFill patternType="solid">
        <x:fgColor rgb="FFFAF9F6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FE4E6"/>
      </x:patternFill>
    </x:fill>
  </x:fills>
  <x:borders count="5">
    <x:border/>
    <x:border>
      <x:bottom style="medium">
        <x:color rgb="FF6D28D9"/>
      </x:bottom>
    </x:border>
    <x:border>
      <x:bottom style="thin">
        <x:color rgb="FFE4E4E7"/>
      </x:bottom>
    </x:border>
    <x:border>
      <x:bottom style="medium">
        <x:color rgb="FF18181B"/>
      </x:bottom>
    </x:border>
    <x:border>
      <x:bottom style="thin">
        <x:color rgb="FF93C5FD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left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0" fillId="5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top" wrapText="1"/>
    </x:xf>
    <x:xf numFmtId="0" fontId="6" fillId="5" borderId="4" xfId="0" applyNumberFormat="1" applyFont="1" applyFill="1" applyBorder="1" applyAlignment="1">
      <x:alignment horizontal="left" vertical="top" wrapText="1"/>
    </x:xf>
    <x:xf numFmtId="200" fontId="6" fillId="5" borderId="0" xfId="0" applyNumberFormat="1" applyFont="1" applyFill="1" applyBorder="1" applyAlignment="1">
      <x:alignment horizontal="left" vertical="top" wrapText="1"/>
    </x:xf>
    <x:xf numFmtId="200" fontId="6" fillId="5" borderId="4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201" fontId="6" fillId="5" borderId="0" xfId="0" applyNumberFormat="1" applyFont="1" applyFill="1" applyBorder="1"/>
    <x:xf numFmtId="201" fontId="6" fillId="5" borderId="4" xfId="0" applyNumberFormat="1" applyFont="1" applyFill="1" applyBorder="1"/>
    <x:xf numFmtId="201" fontId="6" fillId="5" borderId="2" xfId="0" applyNumberFormat="1" applyFont="1" applyFill="1" applyBorder="1"/>
    <x:xf numFmtId="201" fontId="6" fillId="5" borderId="0" xfId="0" applyNumberFormat="1" applyFont="1" applyFill="1" applyBorder="1" applyAlignment="1">
      <x:alignment wrapText="1"/>
    </x:xf>
    <x:xf numFmtId="201" fontId="6" fillId="5" borderId="2" xfId="0" applyNumberFormat="1" applyFont="1" applyFill="1" applyBorder="1" applyAlignment="1">
      <x:alignment wrapText="1"/>
    </x:xf>
    <x:xf numFmtId="201" fontId="6" fillId="5" borderId="0" xfId="0" applyNumberFormat="1" applyFont="1" applyFill="1" applyBorder="1" applyAlignment="1">
      <x:alignment vertical="top" wrapText="1"/>
    </x:xf>
    <x:xf numFmtId="201" fontId="6" fillId="5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4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202" fontId="0" fillId="6" borderId="0" xfId="0" applyNumberFormat="1" applyFont="1" applyFill="1" applyBorder="1"/>
    <x:xf numFmtId="0" fontId="3" fillId="6" borderId="0" xfId="0" applyNumberFormat="1" applyFont="1" applyFill="1" applyBorder="1"/>
    <x:xf numFmtId="202" fontId="3" fillId="6" borderId="0" xfId="0" applyNumberFormat="1" applyFont="1" applyFill="1" applyBorder="1"/>
    <x:xf numFmtId="202" fontId="3" fillId="6" borderId="2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202" fontId="3" fillId="6" borderId="0" xfId="0" applyNumberFormat="1" applyFont="1" applyFill="1" applyBorder="1" applyAlignment="1">
      <x:alignment wrapText="1"/>
    </x:xf>
    <x:xf numFmtId="202" fontId="3" fillId="6" borderId="2" xfId="0" applyNumberFormat="1" applyFont="1" applyFill="1" applyBorder="1" applyAlignment="1">
      <x:alignment wrapText="1"/>
    </x:xf>
    <x:xf numFmtId="202" fontId="3" fillId="6" borderId="0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3" fontId="3" fillId="6" borderId="0" xfId="0" applyNumberFormat="1" applyFont="1" applyFill="1" applyBorder="1"/>
    <x:xf numFmtId="203" fontId="3" fillId="6" borderId="0" xfId="0" applyNumberFormat="1" applyFont="1" applyFill="1" applyBorder="1" applyAlignment="1">
      <x:alignment wrapText="1"/>
    </x:xf>
    <x:xf numFmtId="203" fontId="3" fillId="6" borderId="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202" fontId="6" fillId="5" borderId="0" xfId="0" applyNumberFormat="1" applyFont="1" applyFill="1" applyBorder="1" applyAlignment="1">
      <x:alignment vertical="top" wrapText="1"/>
    </x:xf>
    <x:xf numFmtId="202" fontId="6" fillId="5" borderId="4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/>
    <x:xf numFmtId="202" fontId="6" fillId="5" borderId="0" xfId="0" applyNumberFormat="1" applyFont="1" applyFill="1" applyBorder="1"/>
    <x:xf numFmtId="201" fontId="3" fillId="6" borderId="0" xfId="0" applyNumberFormat="1" applyFont="1" applyFill="1" applyBorder="1"/>
    <x:xf numFmtId="204" fontId="3" fillId="6" borderId="2" xfId="0" applyNumberFormat="1" applyFont="1" applyFill="1" applyBorder="1"/>
    <x:xf numFmtId="202" fontId="6" fillId="5" borderId="0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204" fontId="3" fillId="6" borderId="2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vertical="top" wrapText="1"/>
    </x:xf>
    <x:xf numFmtId="204" fontId="3" fillId="6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932c7f9ef4ec6" /><Relationship Type="http://schemas.openxmlformats.org/officeDocument/2006/relationships/theme" Target="/xl/theme/theme1.xml" Id="R037b160fe88d4351" /><Relationship Type="http://schemas.openxmlformats.org/officeDocument/2006/relationships/sharedStrings" Target="/xl/sharedStrings.xml" Id="Readabc39ba7e457d" /><Relationship Type="http://schemas.openxmlformats.org/officeDocument/2006/relationships/worksheet" Target="/xl/worksheets/sheet1.xml" Id="Rdb42292cced84af0" /><Relationship Type="http://schemas.openxmlformats.org/officeDocument/2006/relationships/worksheet" Target="/xl/worksheets/sheet2.xml" Id="R09ceaba1cea847d1" /><Relationship Type="http://schemas.openxmlformats.org/officeDocument/2006/relationships/worksheet" Target="/xl/worksheets/sheet3.xml" Id="R29f19fdca8634b90" /><Relationship Type="http://schemas.openxmlformats.org/officeDocument/2006/relationships/worksheet" Target="/xl/worksheets/sheet4.xml" Id="Rf02c116f4bf24225" /><Relationship Type="http://schemas.openxmlformats.org/officeDocument/2006/relationships/worksheet" Target="/xl/worksheets/sheet5.xml" Id="Rcd5bbc9220664db3" /><Relationship Type="http://schemas.openxmlformats.org/officeDocument/2006/relationships/worksheet" Target="/xl/worksheets/sheet6.xml" Id="Rb442e236fa2846d5" /><Relationship Type="http://schemas.openxmlformats.org/officeDocument/2006/relationships/worksheet" Target="/xl/worksheets/sheet7.xml" Id="Rcd694c89ef2844f4" /><Relationship Type="http://schemas.openxmlformats.org/officeDocument/2006/relationships/worksheet" Target="/xl/worksheets/sheet8.xml" Id="Rc52983592ef14266" /><Relationship Type="http://schemas.openxmlformats.org/officeDocument/2006/relationships/worksheet" Target="/xl/worksheets/sheet9.xml" Id="R4a1ae7c6ce6448d5" /><Relationship Type="http://schemas.openxmlformats.org/officeDocument/2006/relationships/worksheet" Target="/xl/worksheets/sheet10.xml" Id="R3156fa7c9adf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" hidden="0" customWidth="1"/>
  </x:cols>
  <x:sheetData>
    <x:row r="1" ht="28" customHeight="1">
      <x:c r="A1" s="4" t="str">
        <x:v>Dossier de reprise d’un SaaS développé par un freelance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4" customHeight="1">
      <x:c r="A3" s="8" t="str">
        <x:v>Version 1.1 R3 — 28 juillet 2026 — modèle pédagogique local. N’y stockez aucun mot de passe, secret, clé, donnée client ou information de production.</x:v>
      </x:c>
      <x:c r="B3" s="8"/>
      <x:c r="C3" s="8"/>
      <x:c r="D3" s="8"/>
      <x:c r="E3" s="8"/>
      <x:c r="F3" s="8"/>
      <x:c r="G3" s="8"/>
      <x:c r="H3" s="8"/>
      <x:c r="I3" s="8"/>
    </x:row>
    <x:row r="5">
      <x:c r="B5" s="13" t="str">
        <x:v>Commencez ici</x:v>
      </x:c>
      <x:c r="C5" s="13"/>
      <x:c r="D5" s="13"/>
      <x:c r="E5" s="13"/>
      <x:c r="F5" s="13"/>
      <x:c r="G5" s="13"/>
      <x:c r="H5" s="13"/>
    </x:row>
    <x:row r="6" ht="58" customHeight="1">
      <x:c r="B6" s="16" t="str">
        <x:v>Question de direction</x:v>
      </x:c>
      <x:c r="C6" s="21" t="str">
        <x:v>L’entreprise peut-elle reconstruire, exploiter, restaurer et transmettre le SaaS sans dépendre du compte personnel ou de la mémoire du freelance ?</x:v>
      </x:c>
      <x:c r="D6" s="21"/>
      <x:c r="E6" s="21"/>
      <x:c r="F6" s="21"/>
      <x:c r="G6" s="21"/>
      <x:c r="H6" s="21"/>
    </x:row>
    <x:row r="7" ht="58" customHeight="1">
      <x:c r="B7" s="16" t="str">
        <x:v>Ordre conseillé</x:v>
      </x:c>
      <x:c r="C7" s="21" t="str">
        <x:v>1. Qualifiez le mode dans DECISION. 2. Complétez REGISTRE. 3. Faites accepter CRITICITE. 4. Remplacez les hypothèses RTO_RPO et TCO. 5. Exécutez TESTS. 6. Entretenez PLAN_SORTIE.</x:v>
      </x:c>
      <x:c r="D7" s="21"/>
      <x:c r="E7" s="21"/>
      <x:c r="F7" s="21"/>
      <x:c r="G7" s="21"/>
      <x:c r="H7" s="21"/>
    </x:row>
    <x:row r="8" ht="58" customHeight="1">
      <x:c r="B8" s="16" t="str">
        <x:v>Ce que le kit calcule</x:v>
      </x:c>
      <x:c r="C8" s="21" t="str">
        <x:v>TCO comparable sur 36 mois, exposition RPO uniquement pour des points restaurés et validés, coût d’un exercice, ordre de grandeur d’un arrêt et coût de récupération des comptes.</x:v>
      </x:c>
      <x:c r="D8" s="21"/>
      <x:c r="E8" s="21"/>
      <x:c r="F8" s="21"/>
      <x:c r="G8" s="21"/>
      <x:c r="H8" s="21"/>
    </x:row>
    <x:row r="9" ht="58" customHeight="1">
      <x:c r="B9" s="16" t="str">
        <x:v>Ce qu’il ne décide pas</x:v>
      </x:c>
      <x:c r="C9" s="21" t="str">
        <x:v>Propriété intellectuelle, conformité RGPD, validité d’une cession, responsabilité, probabilité de panne, chiffre d’affaires perdu ou stratégie de négociation.</x:v>
      </x:c>
      <x:c r="D9" s="21"/>
      <x:c r="E9" s="21"/>
      <x:c r="F9" s="21"/>
      <x:c r="G9" s="21"/>
      <x:c r="H9" s="21"/>
    </x:row>
    <x:row r="10" ht="58" customHeight="1">
      <x:c r="B10" s="16" t="str">
        <x:v>Règle STOP</x:v>
      </x:c>
      <x:c r="C10" s="22" t="str">
        <x:v>Mode inconnu, incident ou litige actif, hypothèse numérique manquante, preuve de restauration datée absente ou non qualifiée, droit non vérifié ou accès non contrôlé : ne poursuivez pas une passation normale comme si le risque était résolu.</x:v>
      </x:c>
      <x:c r="D10" s="22"/>
      <x:c r="E10" s="22"/>
      <x:c r="F10" s="22"/>
      <x:c r="G10" s="22"/>
      <x:c r="H10" s="22"/>
    </x:row>
    <x:row r="12">
      <x:c r="B12" s="13" t="str">
        <x:v>Légende</x:v>
      </x:c>
      <x:c r="C12" s="13"/>
      <x:c r="D12" s="13"/>
      <x:c r="E12" s="13"/>
      <x:c r="F12" s="13"/>
      <x:c r="G12" s="13"/>
      <x:c r="H12" s="13"/>
    </x:row>
    <x:row r="13" ht="34" customHeight="1">
      <x:c r="B13" s="33" t="str">
        <x:v>BLEU</x:v>
      </x:c>
      <x:c r="C13" s="21" t="str">
        <x:v>Entrée à remplacer</x:v>
      </x:c>
      <x:c r="D13" s="34" t="str">
        <x:v>VERT</x:v>
      </x:c>
      <x:c r="E13" s="21" t="str">
        <x:v>Calcul</x:v>
      </x:c>
      <x:c r="F13" s="35" t="str">
        <x:v>AMBRE</x:v>
      </x:c>
      <x:c r="G13" s="21" t="str">
        <x:v>À confirmer</x:v>
      </x:c>
    </x:row>
    <x:row r="14" ht="34" customHeight="1">
      <x:c r="B14" s="36" t="str">
        <x:v>ROUGE</x:v>
      </x:c>
      <x:c r="C14" s="21" t="str">
        <x:v>STOP / échec</x:v>
      </x:c>
      <x:c r="D14" s="37" t="str">
        <x:v>GRIS</x:v>
      </x:c>
      <x:c r="E14" s="21" t="str">
        <x:v>Exemple fictif</x:v>
      </x:c>
      <x:c r="F14" s="38" t="str">
        <x:v>URL</x:v>
      </x:c>
      <x:c r="G14" s="21" t="str">
        <x:v>Source à rouvrir</x:v>
      </x:c>
    </x:row>
    <x:row r="15" ht="34" customHeight="1">
      <x:c r="B15" s="22" t="str">
        <x:v>PASS</x:v>
      </x:c>
      <x:c r="C15" s="22" t="str">
        <x:v>Structure calculable</x:v>
      </x:c>
      <x:c r="D15" s="22" t="str">
        <x:v>À TESTER</x:v>
      </x:c>
      <x:c r="E15" s="22" t="str">
        <x:v>Preuve terrain absente</x:v>
      </x:c>
      <x:c r="F15" s="22" t="str">
        <x:v>AUCUN SECRET</x:v>
      </x:c>
      <x:c r="G15" s="22" t="str">
        <x:v>Références seulement</x:v>
      </x:c>
    </x:row>
    <x:row r="17">
      <x:c r="B17" s="13" t="str">
        <x:v>État du modèle</x:v>
      </x:c>
      <x:c r="C17" s="13"/>
      <x:c r="D17" s="13"/>
      <x:c r="E17" s="13"/>
      <x:c r="F17" s="13"/>
      <x:c r="G17" s="13"/>
      <x:c r="H17" s="13"/>
    </x:row>
    <x:row r="18" ht="42" customHeight="1">
      <x:c r="B18" s="16" t="str">
        <x:v>Contrôles de structure</x:v>
      </x:c>
      <x:c r="C18" s="21"/>
      <x:c r="D18" s="43" t="str">
        <x:f>'CONTROLES'!B4</x:f>
        <x:v>MODEL STATUS: PASS</x:v>
      </x:c>
      <x:c r="E18" s="43"/>
      <x:c r="F18" s="43"/>
      <x:c r="G18" s="43"/>
      <x:c r="H18" s="43"/>
    </x:row>
    <x:row r="19" ht="42" customHeight="1">
      <x:c r="B19" s="16" t="str">
        <x:v>Tests opérationnels</x:v>
      </x:c>
      <x:c r="C19" s="21" t="str">
        <x:v>À exécuter sur environnement autorisé</x:v>
      </x:c>
      <x:c r="D19" s="21" t="str">
        <x:v>Les 18 scénarios restent « À tester » tant qu’une preuve datée n’est pas jointe.</x:v>
      </x:c>
      <x:c r="E19" s="21"/>
      <x:c r="F19" s="21"/>
      <x:c r="G19" s="21"/>
      <x:c r="H19" s="21"/>
    </x:row>
    <x:row r="20" ht="42" customHeight="1">
      <x:c r="B20" s="16" t="str">
        <x:v>Données réelles</x:v>
      </x:c>
      <x:c r="C20" s="21" t="str">
        <x:v>Aucune dans la version fournie</x:v>
      </x:c>
      <x:c r="D20" s="21" t="str">
        <x:v>Les cellules bleues contiennent uniquement des hypothèses fictives et remplaçables.</x:v>
      </x:c>
      <x:c r="E20" s="21"/>
      <x:c r="F20" s="21"/>
      <x:c r="G20" s="21"/>
      <x:c r="H20" s="21"/>
    </x:row>
    <x:row r="21" ht="42" customHeight="1">
      <x:c r="B21" s="41" t="str">
        <x:v>Limite</x:v>
      </x:c>
      <x:c r="C21" s="22" t="str">
        <x:v>MODEL STATUS: PASS ne vaut ni recette, ni audit juridique, ni reprise réussie</x:v>
      </x:c>
      <x:c r="D21" s="22" t="str">
        <x:v>Faites arbitrer les points juridiques, de sécurité et de données par le spécialiste compétent.</x:v>
      </x:c>
      <x:c r="E21" s="22"/>
      <x:c r="F21" s="22"/>
      <x:c r="G21" s="22"/>
      <x:c r="H21" s="22"/>
    </x:row>
  </x:sheetData>
  <x:mergeCells>
    <x:mergeCell ref="A1:I2"/>
    <x:mergeCell ref="A3:I3"/>
    <x:mergeCell ref="B5:H5"/>
    <x:mergeCell ref="C6:H6"/>
    <x:mergeCell ref="C7:H7"/>
    <x:mergeCell ref="C8:H8"/>
    <x:mergeCell ref="C9:H9"/>
    <x:mergeCell ref="C10:H10"/>
    <x:mergeCell ref="B12:H12"/>
    <x:mergeCell ref="B17:H17"/>
    <x:mergeCell ref="D18:H18"/>
    <x:mergeCell ref="D19:H19"/>
    <x:mergeCell ref="D20:H20"/>
    <x:mergeCell ref="D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7" hidden="0" customWidth="1"/>
    <x:col min="3" max="3" width="18" hidden="0" customWidth="1"/>
    <x:col min="4" max="4" width="20" hidden="0" customWidth="1"/>
    <x:col min="5" max="5" width="12" hidden="0" customWidth="1"/>
    <x:col min="6" max="6" width="34" hidden="0" customWidth="1"/>
    <x:col min="7" max="7" width="25" hidden="0" customWidth="1"/>
    <x:col min="8" max="8" width="30" hidden="0" customWidth="1"/>
    <x:col min="9" max="9" width="42" hidden="0" customWidth="1"/>
    <x:col min="10" max="10" width="20" hidden="0" customWidth="1"/>
    <x:col min="11" max="11" width="34" hidden="0" customWidth="1"/>
    <x:col min="12" max="12" width="40" hidden="0" customWidth="1"/>
    <x:col min="13" max="13" width="46" hidden="0" customWidth="1"/>
  </x:cols>
  <x:sheetData>
    <x:row r="1" ht="28" customHeight="1">
      <x:c r="A1" s="4" t="str">
        <x:v>Registre des dix fonctions à reprendre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4" customHeight="1">
      <x:c r="A3" s="8" t="str">
        <x:v>Une ligne par fonction vitale. Les descriptions sont fictives ; remplacez propriétaires, preuves et statuts sans jamais coller de secret.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5">
      <x:c r="B5" s="48" t="str">
        <x:v>ID</x:v>
      </x:c>
      <x:c r="C5" s="48" t="str">
        <x:v>Groupe</x:v>
      </x:c>
      <x:c r="D5" s="48" t="str">
        <x:v>Service</x:v>
      </x:c>
      <x:c r="E5" s="48" t="str">
        <x:v>Criticité</x:v>
      </x:c>
      <x:c r="F5" s="48" t="str">
        <x:v>Impact métier</x:v>
      </x:c>
      <x:c r="G5" s="48" t="str">
        <x:v>Décideur</x:v>
      </x:c>
      <x:c r="H5" s="48" t="str">
        <x:v>Responsable / contrôle actuel</x:v>
      </x:c>
      <x:c r="I5" s="48" t="str">
        <x:v>Preuve attendue</x:v>
      </x:c>
      <x:c r="J5" s="48" t="str">
        <x:v>Statut</x:v>
      </x:c>
      <x:c r="K5" s="48" t="str">
        <x:v>Blocage</x:v>
      </x:c>
      <x:c r="L5" s="48" t="str">
        <x:v>Action suivante</x:v>
      </x:c>
      <x:c r="M5" s="48" t="str">
        <x:v>Condition de retrait</x:v>
      </x:c>
    </x:row>
    <x:row r="6" ht="92" customHeight="1">
      <x:c r="B6" s="21" t="n">
        <x:v>1</x:v>
      </x:c>
      <x:c r="C6" s="21" t="str">
        <x:v>Fondations</x:v>
      </x:c>
      <x:c r="D6" s="21" t="str">
        <x:v>Dépôt GitHub</x:v>
      </x:c>
      <x:c r="E6" s="21" t="str">
        <x:v>Critique</x:v>
      </x:c>
      <x:c r="F6" s="21" t="str">
        <x:v>Sans dépôt complet, une autre équipe ne peut ni reconstruire ni corriger le produit de façon vérifiable.</x:v>
      </x:c>
      <x:c r="G6" s="21" t="str">
        <x:v>Direction + responsable technique</x:v>
      </x:c>
      <x:c r="H6" s="21" t="str">
        <x:v>Nina possède l’organisation de l’entreprise et a testé la récupération de son compte.</x:v>
      </x:c>
      <x:c r="I6" s="21" t="str">
        <x:v>Le 22 juillet, Malik récupère le code, construit le produit et le publie sur une adresse de test qui ne sert aucun client.</x:v>
      </x:c>
      <x:c r="J6" s="50" t="str">
        <x:v>À vérifier</x:v>
      </x:c>
      <x:c r="K6" s="21" t="str">
        <x:v>Applications, adresses recevant les événements, secrets et identifiants de mise en ligne ne sont pas encore tous recensés. Oui, cela bloque le retrait.</x:v>
      </x:c>
      <x:c r="L6" s="21" t="str">
        <x:v>Malik recense chaque autorisation, la replace sous un compte entreprise et teste son remplaçant.</x:v>
      </x:c>
      <x:c r="M6" s="21" t="str">
        <x:v>Le dépôt est dans l’organisation de l’entreprise et chaque dépendance personnelle a un remplaçant contrôlé et testé.</x:v>
      </x:c>
    </x:row>
    <x:row r="7" ht="92" customHeight="1">
      <x:c r="B7" s="21" t="n">
        <x:v>2</x:v>
      </x:c>
      <x:c r="C7" s="21" t="str">
        <x:v>Fondations</x:v>
      </x:c>
      <x:c r="D7" s="21" t="str">
        <x:v>Hébergement</x:v>
      </x:c>
      <x:c r="E7" s="21" t="str">
        <x:v>Critique</x:v>
      </x:c>
      <x:c r="F7" s="21" t="str">
        <x:v>Une erreur de bascule peut rendre tout le SaaS indisponible même si le code et les données existent.</x:v>
      </x:c>
      <x:c r="G7" s="21" t="str">
        <x:v>Direction + responsable technique</x:v>
      </x:c>
      <x:c r="H7" s="21" t="str">
        <x:v>Nina possède un nouveau projet et sa récupération a été testée.</x:v>
      </x:c>
      <x:c r="I7" s="21" t="str">
        <x:v>Le 23 juillet, Malik publie une page témoin sur une adresse isolée, puis revient à la version précédente.</x:v>
      </x:c>
      <x:c r="J7" s="50" t="str">
        <x:v>À vérifier</x:v>
      </x:c>
      <x:c r="K7" s="21" t="str">
        <x:v>Facturation, stockage, journaux et connexions à d’autres services ne suivent pas forcément le projet. Oui, le projet actif reste bloquant.</x:v>
      </x:c>
      <x:c r="L7" s="21" t="str">
        <x:v>Malik rapproche chaque dépendance de sa propre fiche avant de préparer la bascule.</x:v>
      </x:c>
      <x:c r="M7" s="21" t="str">
        <x:v>Le projet qui sert les clients appartient à l’entreprise ; une mise en ligne planifiée a validé les fonctions critiques et le retour immédiat à la version précédente.</x:v>
      </x:c>
    </x:row>
    <x:row r="8" ht="92" customHeight="1">
      <x:c r="B8" s="21" t="n">
        <x:v>3</x:v>
      </x:c>
      <x:c r="C8" s="21" t="str">
        <x:v>Données et revenus</x:v>
      </x:c>
      <x:c r="D8" s="21" t="str">
        <x:v>Base et sauvegardes</x:v>
      </x:c>
      <x:c r="E8" s="21" t="str">
        <x:v>Critique</x:v>
      </x:c>
      <x:c r="F8" s="21" t="str">
        <x:v>La perte ou l’impossibilité de restaurer les dossiers peut bloquer le service, la preuve et les obligations applicables.</x:v>
      </x:c>
      <x:c r="G8" s="21" t="str">
        <x:v>Direction métier + responsable données</x:v>
      </x:c>
      <x:c r="H8" s="21" t="str">
        <x:v>Nina possède un accès administrateur dont la récupération a été testée.</x:v>
      </x:c>
      <x:c r="I8" s="21" t="str">
        <x:v>Le 24 juillet, Malik restaure une sauvegarde autorisée dans un espace isolé et protégé, puis contrôle sa structure et les éléments attendus.</x:v>
      </x:c>
      <x:c r="J8" s="50" t="str">
        <x:v>À vérifier</x:v>
      </x:c>
      <x:c r="K8" s="21" t="str">
        <x:v>Les fichiers PDF sont stockés dans un autre service. Oui, une base sans ses fichiers ne suffit pas.</x:v>
      </x:c>
      <x:c r="L8" s="21" t="str">
        <x:v>Malik contrôle séparément le stockage et documente le traitement de la copie restaurée.</x:v>
      </x:c>
      <x:c r="M8" s="21" t="str">
        <x:v>L’entreprise contrôle la base et les fichiers actifs ; la nouvelle équipe sait les restaurer selon la procédure autorisée.</x:v>
      </x:c>
    </x:row>
    <x:row r="9" ht="92" customHeight="1">
      <x:c r="B9" s="21" t="n">
        <x:v>4</x:v>
      </x:c>
      <x:c r="C9" s="21" t="str">
        <x:v>Données et revenus</x:v>
      </x:c>
      <x:c r="D9" s="21" t="str">
        <x:v>Paiement et abonnements</x:v>
      </x:c>
      <x:c r="E9" s="21" t="str">
        <x:v>Critique</x:v>
      </x:c>
      <x:c r="F9" s="21" t="str">
        <x:v>Un paiement peut être encaissé sans ouvrir le bon droit, ou être débité deux fois lors d’une migration mal préparée.</x:v>
      </x:c>
      <x:c r="G9" s="21" t="str">
        <x:v>Direction + finance + responsable technique</x:v>
      </x:c>
      <x:c r="H9" s="21" t="str">
        <x:v>Nina est propriétaire du compte — rôle nommé Account Owner dans Stripe — avec une adresse de récupération de l’entreprise testée.</x:v>
      </x:c>
      <x:c r="I9" s="21" t="str">
        <x:v>Le 25 juillet, Malik reproduit l’intégration dans l’espace de test Stripe, sans créer de facturation réelle.</x:v>
      </x:c>
      <x:c r="J9" s="50" t="str">
        <x:v>À vérifier</x:v>
      </x:c>
      <x:c r="K9" s="21" t="str">
        <x:v>Les identifiants et l’adresse qui reçoit les événements de production restent à inventorier. Oui, un paiement peut être encaissé sans être signalé au produit.</x:v>
      </x:c>
      <x:c r="L9" s="21" t="str">
        <x:v>Nina vérifie banque, facturation, récupération, utilisateurs, alertes et configuration active.</x:v>
      </x:c>
      <x:c r="M9" s="21" t="str">
        <x:v>Après tout changement préparé, un événement attendu est observé avec la configuration active, sans abonnement ou facture improvisés.</x:v>
      </x:c>
    </x:row>
    <x:row r="10" ht="92" customHeight="1">
      <x:c r="B10" s="21" t="n">
        <x:v>5</x:v>
      </x:c>
      <x:c r="C10" s="21" t="str">
        <x:v>Accès client</x:v>
      </x:c>
      <x:c r="D10" s="21" t="str">
        <x:v>Domaine et réglages DNS</x:v>
      </x:c>
      <x:c r="E10" s="21" t="str">
        <x:v>Critique</x:v>
      </x:c>
      <x:c r="F10" s="21" t="str">
        <x:v>Une perte de renouvellement ou une mauvaise zone DNS peut couper tout accès et tout envoi lié au domaine.</x:v>
      </x:c>
      <x:c r="G10" s="21" t="str">
        <x:v>Direction + responsable technique</x:v>
      </x:c>
      <x:c r="H10" s="21" t="str">
        <x:v>Nina et Malik disposent de deux accès nominatifs ; la récupération a été testée.</x:v>
      </x:c>
      <x:c r="I10" s="21" t="str">
        <x:v>Le 25 juillet, Nina vérifie le renouvellement et exporte une copie datée des réglages du domaine, souvent appelés zone DNS.</x:v>
      </x:c>
      <x:c r="J10" s="50" t="str">
        <x:v>À vérifier</x:v>
      </x:c>
      <x:c r="K10" s="21" t="str">
        <x:v>La carte de renouvellement doit encore être confirmée. Oui, un échec pourrait couper l’adresse ou verrouiller l’entreprise dehors.</x:v>
      </x:c>
      <x:c r="L10" s="21" t="str">
        <x:v>Nina vérifie carte, coordonnées et alertes de renouvellement.</x:v>
      </x:c>
      <x:c r="M10" s="21" t="str">
        <x:v>Deux accès entreprise fonctionnent, récupération et paiement sont vérifiés et la copie datée des réglages est disponible.</x:v>
      </x:c>
    </x:row>
    <x:row r="11" ht="92" customHeight="1">
      <x:c r="B11" s="21" t="n">
        <x:v>6</x:v>
      </x:c>
      <x:c r="C11" s="21" t="str">
        <x:v>Automatisation</x:v>
      </x:c>
      <x:c r="D11" s="21" t="str">
        <x:v>Tâche matinale</x:v>
      </x:c>
      <x:c r="E11" s="21" t="str">
        <x:v>Élevée</x:v>
      </x:c>
      <x:c r="F11" s="21" t="str">
        <x:v>Deux planifications actives peuvent dupliquer une action client ; aucune planification peut interrompre un service attendu.</x:v>
      </x:c>
      <x:c r="G11" s="21" t="str">
        <x:v>Responsable métier + responsable technique</x:v>
      </x:c>
      <x:c r="H11" s="21" t="str">
        <x:v>Malik administre le projet entreprise et a testé la récupération de son accès.</x:v>
      </x:c>
      <x:c r="I11" s="21" t="str">
        <x:v>Le 26 juillet, une exécution utilise 18 dossiers synthétiques et uniquement des destinataires contrôlés ; une seule relance est produite.</x:v>
      </x:c>
      <x:c r="J11" s="50" t="str">
        <x:v>À vérifier</x:v>
      </x:c>
      <x:c r="K11" s="21" t="str">
        <x:v>Une seconde exécution peut encore attendre. Oui, deux planifications pourraient créer deux relances.</x:v>
      </x:c>
      <x:c r="L11" s="21" t="str">
        <x:v>Malik vérifie l’arrêt et la liste des tâches encore en attente avant la bascule.</x:v>
      </x:c>
      <x:c r="M11" s="21" t="str">
        <x:v>La planification active appartient à l’entreprise ; la prochaine exécution attendue est observée une seule fois et son alerte est reçue.</x:v>
      </x:c>
    </x:row>
    <x:row r="12" ht="92" customHeight="1">
      <x:c r="B12" s="21" t="n">
        <x:v>7</x:v>
      </x:c>
      <x:c r="C12" s="21" t="str">
        <x:v>Accès client</x:v>
      </x:c>
      <x:c r="D12" s="21" t="str">
        <x:v>Connexion des utilisateurs</x:v>
      </x:c>
      <x:c r="E12" s="21" t="str">
        <x:v>Critique</x:v>
      </x:c>
      <x:c r="F12" s="21" t="str">
        <x:v>Une configuration d’identité incorrecte peut bloquer tous les clients ou laisser un ancien administrateur contrôler les accès.</x:v>
      </x:c>
      <x:c r="G12" s="21" t="str">
        <x:v>Direction + responsable sécurité/technique</x:v>
      </x:c>
      <x:c r="H12" s="21" t="str">
        <x:v>Nina est administratrice avec une adresse entreprise et une récupération testée.</x:v>
      </x:c>
      <x:c r="I12" s="21" t="str">
        <x:v>Le 26 juillet, Nina crée, connecte puis retire un utilisateur fictif sur l’adresse de test.</x:v>
      </x:c>
      <x:c r="J12" s="50" t="str">
        <x:v>À vérifier</x:v>
      </x:c>
      <x:c r="K12" s="21" t="str">
        <x:v>Le service qui connecte les vrais clients n’a pas encore été transféré. Oui, le test isolé ne suffit pas.</x:v>
      </x:c>
      <x:c r="L12" s="21" t="str">
        <x:v>Malik prépare le transfert du service actif et contrôle ses alertes et réglages.</x:v>
      </x:c>
      <x:c r="M12" s="21" t="str">
        <x:v>Le service actif est détenu et facturé par l’entreprise ; connexion fictive, récupération et alertes fonctionnent sans Sam.</x:v>
      </x:c>
    </x:row>
    <x:row r="13" ht="92" customHeight="1">
      <x:c r="B13" s="21" t="n">
        <x:v>8</x:v>
      </x:c>
      <x:c r="C13" s="21" t="str">
        <x:v>Communication</x:v>
      </x:c>
      <x:c r="D13" s="21" t="str">
        <x:v>Courriels</x:v>
      </x:c>
      <x:c r="E13" s="21" t="str">
        <x:v>Élevée</x:v>
      </x:c>
      <x:c r="F13" s="21" t="str">
        <x:v>Les clients peuvent perdre les confirmations et la récupération de compte même si l’interface reste disponible.</x:v>
      </x:c>
      <x:c r="G13" s="21" t="str">
        <x:v>Support + responsable technique</x:v>
      </x:c>
      <x:c r="H13" s="21" t="str">
        <x:v>Nina dispose d’un accès administrateur et d’une récupération testée.</x:v>
      </x:c>
      <x:c r="I13" s="21" t="str">
        <x:v>Le 27 juillet, un courriel transactionnel arrive uniquement sur deux adresses de test contrôlées.</x:v>
      </x:c>
      <x:c r="J13" s="50" t="str">
        <x:v>À vérifier</x:v>
      </x:c>
      <x:c r="K13" s="21" t="str">
        <x:v>Domaine, facturation et limites du compte actif restent à contrôler. Oui, le test isolé ne prouve pas que le service actif continuera.</x:v>
      </x:c>
      <x:c r="L13" s="21" t="str">
        <x:v>Malik vérifie le domaine d’envoi et le compte réellement utilisé par le SaaS.</x:v>
      </x:c>
      <x:c r="M13" s="21" t="str">
        <x:v>Le compte actif appartient à l’entreprise ; le domaine est validé et un message contrôlé part de la configuration active sans liste client.</x:v>
      </x:c>
    </x:row>
    <x:row r="14" ht="92" customHeight="1">
      <x:c r="B14" s="21" t="n">
        <x:v>9</x:v>
      </x:c>
      <x:c r="C14" s="21" t="str">
        <x:v>Données et revenus</x:v>
      </x:c>
      <x:c r="D14" s="21" t="str">
        <x:v>Fichiers clients</x:v>
      </x:c>
      <x:c r="E14" s="21" t="str">
        <x:v>Élevée</x:v>
      </x:c>
      <x:c r="F14" s="21" t="str">
        <x:v>Une restauration de base peut sembler réussie alors que les documents clients restent absents ou inaccessibles.</x:v>
      </x:c>
      <x:c r="G14" s="21" t="str">
        <x:v>Responsable données + support</x:v>
      </x:c>
      <x:c r="H14" s="21" t="str">
        <x:v>Nina est administratrice et a testé la récupération.</x:v>
      </x:c>
      <x:c r="I14" s="21" t="str">
        <x:v>Le 27 juillet, Malik ajoute, lit puis supprime un faux PDF dans l’espace de test.</x:v>
      </x:c>
      <x:c r="J14" s="50" t="str">
        <x:v>À vérifier</x:v>
      </x:c>
      <x:c r="K14" s="21" t="str">
        <x:v>Propriété, facturation, conservation et sauvegarde du stockage actif restent à confirmer. Oui, les vrais fichiers peuvent rester hors du contrôle de l’entreprise.</x:v>
      </x:c>
      <x:c r="L14" s="21" t="str">
        <x:v>Malik vérifie un fichier autorisé selon la procédure protégée et rapproche le stockage de la sauvegarde.</x:v>
      </x:c>
      <x:c r="M14" s="21" t="str">
        <x:v>Le stockage actif est détenu et facturé par l’entreprise ; la nouvelle équipe retrouve un fichier autorisé et supprime le faux fichier.</x:v>
      </x:c>
    </x:row>
    <x:row r="15" ht="92" customHeight="1">
      <x:c r="B15" s="22" t="n">
        <x:v>10</x:v>
      </x:c>
      <x:c r="C15" s="22" t="str">
        <x:v>Exploitation</x:v>
      </x:c>
      <x:c r="D15" s="22" t="str">
        <x:v>Surveillance et support</x:v>
      </x:c>
      <x:c r="E15" s="22" t="str">
        <x:v>Critique</x:v>
      </x:c>
      <x:c r="F15" s="22" t="str">
        <x:v>Une panne peut rester invisible et sans responsable alors que les clients pensent que le service est surveillé.</x:v>
      </x:c>
      <x:c r="G15" s="22" t="str">
        <x:v>Direction + support + responsable technique</x:v>
      </x:c>
      <x:c r="H15" s="22" t="str">
        <x:v>Nina contrôle la boîte support ; Malik administre les alertes ; leurs récupérations sont testées.</x:v>
      </x:c>
      <x:c r="I15" s="22" t="str">
        <x:v>Le 28 juillet, un ticket fictif est attribué et une alerte de test arrive chez deux personnes.</x:v>
      </x:c>
      <x:c r="J15" s="52" t="str">
        <x:v>À vérifier</x:v>
      </x:c>
      <x:c r="K15" s="22" t="str">
        <x:v>La personne qui répond et le délai visé restent à décider. Oui, une panne pourrait sinon rester invisible.</x:v>
      </x:c>
      <x:c r="L15" s="22" t="str">
        <x:v>Nina nomme un responsable pour chaque type d’alerte.</x:v>
      </x:c>
      <x:c r="M15" s="22" t="str">
        <x:v>Les alertes actives arrivent chez deux personnes de l’entreprise et un incident fictif est reçu, attribué, traité puis clos sans Sam.</x:v>
      </x:c>
    </x:row>
    <x:row r="17" ht="40" customHeight="1">
      <x:c r="B17" s="54" t="str">
        <x:v>AUCUN SECRET : référencez un coffre, un ticket, un emplacement ou une preuve datée ; ne collez jamais la valeur d’une clé, d’un mot de passe ou d’une donnée client.</x:v>
      </x:c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</x:row>
  </x:sheetData>
  <x:mergeCells>
    <x:mergeCell ref="A1:M2"/>
    <x:mergeCell ref="A3:M3"/>
    <x:mergeCell ref="B17:M17"/>
  </x:mergeCells>
  <x:dataValidations count="1">
    <x:dataValidation type="list" sqref="J6:J15">
      <x:formula1>"À vérifier,En cours,PASS,STOP"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18" hidden="0" customWidth="1"/>
    <x:col min="4" max="4" width="28" hidden="0" customWidth="1"/>
    <x:col min="5" max="5" width="34" hidden="0" customWidth="1"/>
    <x:col min="6" max="6" width="42" hidden="0" customWidth="1"/>
    <x:col min="7" max="7" width="28" hidden="0" customWidth="1"/>
    <x:col min="8" max="8" width="22" hidden="0" customWidth="1"/>
    <x:col min="9" max="9" width="4" hidden="0" customWidth="1"/>
  </x:cols>
  <x:sheetData>
    <x:row r="1" ht="28" customHeight="1">
      <x:c r="A1" s="4" t="str">
        <x:v>Criticité décidée par parcours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4" customHeight="1">
      <x:c r="A3" s="8" t="str">
        <x:v>RTO = durée maximale visée avant reprise. RPO = perte maximale de données acceptée. Ces valeurs fictives doivent être acceptées par le métier.</x:v>
      </x:c>
      <x:c r="B3" s="8"/>
      <x:c r="C3" s="8"/>
      <x:c r="D3" s="8"/>
      <x:c r="E3" s="8"/>
      <x:c r="F3" s="8"/>
      <x:c r="G3" s="8"/>
      <x:c r="H3" s="8"/>
      <x:c r="I3" s="8"/>
    </x:row>
    <x:row r="5">
      <x:c r="B5" s="48" t="str">
        <x:v>Parcours</x:v>
      </x:c>
      <x:c r="C5" s="48" t="str">
        <x:v>RTO cible (h)</x:v>
      </x:c>
      <x:c r="D5" s="48" t="str">
        <x:v>RPO cible (h)</x:v>
      </x:c>
      <x:c r="E5" s="48" t="str">
        <x:v>Conséquence observée</x:v>
      </x:c>
      <x:c r="F5" s="48" t="str">
        <x:v>Preuve attendue</x:v>
      </x:c>
      <x:c r="G5" s="48" t="str">
        <x:v>Décideur</x:v>
      </x:c>
      <x:c r="H5" s="48" t="str">
        <x:v>Statut</x:v>
      </x:c>
    </x:row>
    <x:row r="6" ht="58" customHeight="1">
      <x:c r="B6" s="21" t="str">
        <x:v>Connexion</x:v>
      </x:c>
      <x:c r="C6" s="57" t="n">
        <x:v>4</x:v>
      </x:c>
      <x:c r="D6" s="57" t="n">
        <x:v>0.25</x:v>
      </x:c>
      <x:c r="E6" s="21" t="str">
        <x:v>Clients incapables d’ouvrir leur espace</x:v>
      </x:c>
      <x:c r="F6" s="21" t="str">
        <x:v>Création, connexion, récupération et révocation chronométrées</x:v>
      </x:c>
      <x:c r="G6" s="21" t="str">
        <x:v>Direction + support</x:v>
      </x:c>
      <x:c r="H6" s="50" t="str">
        <x:v>À accepter</x:v>
      </x:c>
    </x:row>
    <x:row r="7" ht="58" customHeight="1">
      <x:c r="B7" s="21" t="str">
        <x:v>Paiement</x:v>
      </x:c>
      <x:c r="C7" s="57" t="n">
        <x:v>1</x:v>
      </x:c>
      <x:c r="D7" s="57" t="n">
        <x:v>0</x:v>
      </x:c>
      <x:c r="E7" s="21" t="str">
        <x:v>Encaissement, droit et facture susceptibles de diverger</x:v>
      </x:c>
      <x:c r="F7" s="21" t="str">
        <x:v>Événements rejoués sans doublon et rapprochement contrôlé</x:v>
      </x:c>
      <x:c r="G7" s="21" t="str">
        <x:v>Direction + finance</x:v>
      </x:c>
      <x:c r="H7" s="50" t="str">
        <x:v>À accepter</x:v>
      </x:c>
    </x:row>
    <x:row r="8" ht="58" customHeight="1">
      <x:c r="B8" s="21" t="str">
        <x:v>Action métier</x:v>
      </x:c>
      <x:c r="C8" s="57" t="n">
        <x:v>8</x:v>
      </x:c>
      <x:c r="D8" s="57" t="n">
        <x:v>4</x:v>
      </x:c>
      <x:c r="E8" s="21" t="str">
        <x:v>Relance non préparée ou produite deux fois</x:v>
      </x:c>
      <x:c r="F8" s="21" t="str">
        <x:v>Tâche restaurée, unicité contrôlée et alerte reçue</x:v>
      </x:c>
      <x:c r="G8" s="21" t="str">
        <x:v>Responsable métier</x:v>
      </x:c>
      <x:c r="H8" s="50" t="str">
        <x:v>À accepter</x:v>
      </x:c>
    </x:row>
    <x:row r="9" ht="58" customHeight="1">
      <x:c r="B9" s="21" t="str">
        <x:v>Documents</x:v>
      </x:c>
      <x:c r="C9" s="57" t="n">
        <x:v>8</x:v>
      </x:c>
      <x:c r="D9" s="57" t="n">
        <x:v>4</x:v>
      </x:c>
      <x:c r="E9" s="21" t="str">
        <x:v>PDF clients absents malgré une base restaurée</x:v>
      </x:c>
      <x:c r="F9" s="21" t="str">
        <x:v>Base et stockage restaurés puis rapprochés</x:v>
      </x:c>
      <x:c r="G9" s="21" t="str">
        <x:v>Métier + responsable données</x:v>
      </x:c>
      <x:c r="H9" s="50" t="str">
        <x:v>À accepter</x:v>
      </x:c>
    </x:row>
    <x:row r="10" ht="58" customHeight="1">
      <x:c r="B10" s="22" t="str">
        <x:v>Support et alertes</x:v>
      </x:c>
      <x:c r="C10" s="58" t="n">
        <x:v>1</x:v>
      </x:c>
      <x:c r="D10" s="58" t="str">
        <x:v>Sans objet</x:v>
      </x:c>
      <x:c r="E10" s="22" t="str">
        <x:v>Incident invisible ou sans personne responsable</x:v>
      </x:c>
      <x:c r="F10" s="22" t="str">
        <x:v>Alerte fictive reçue par deux personnes et journalisée</x:v>
      </x:c>
      <x:c r="G10" s="22" t="str">
        <x:v>Direction + support</x:v>
      </x:c>
      <x:c r="H10" s="52" t="str">
        <x:v>À accepter</x:v>
      </x:c>
    </x:row>
    <x:row r="13">
      <x:c r="B13" s="13" t="str">
        <x:v>Questions d’arbitrage</x:v>
      </x:c>
      <x:c r="C13" s="13"/>
      <x:c r="D13" s="13"/>
      <x:c r="E13" s="13"/>
      <x:c r="F13" s="13"/>
      <x:c r="G13" s="13"/>
      <x:c r="H13" s="13"/>
    </x:row>
    <x:row r="14" ht="44" customHeight="1">
      <x:c r="B14" s="21" t="str">
        <x:v>1</x:v>
      </x:c>
      <x:c r="C14" s="21" t="str">
        <x:v>Quel parcours produit la conséquence la plus grave ?</x:v>
      </x:c>
      <x:c r="D14" s="21"/>
      <x:c r="E14" s="21"/>
      <x:c r="F14" s="21"/>
      <x:c r="G14" s="21"/>
      <x:c r="H14" s="21" t="str">
        <x:v>Ne classez pas toute l’application au même niveau.</x:v>
      </x:c>
    </x:row>
    <x:row r="15" ht="44" customHeight="1">
      <x:c r="B15" s="21" t="str">
        <x:v>2</x:v>
      </x:c>
      <x:c r="C15" s="21" t="str">
        <x:v>Quelle perte de données peut être reconstruite, par qui et en combien de temps ?</x:v>
      </x:c>
      <x:c r="D15" s="21"/>
      <x:c r="E15" s="21"/>
      <x:c r="F15" s="21"/>
      <x:c r="G15" s="21"/>
      <x:c r="H15" s="21" t="str">
        <x:v>Une fréquence de sauvegarde ne prouve pas la restauration.</x:v>
      </x:c>
    </x:row>
    <x:row r="16" ht="44" customHeight="1">
      <x:c r="B16" s="21" t="str">
        <x:v>3</x:v>
      </x:c>
      <x:c r="C16" s="21" t="str">
        <x:v>Quel coût et quelle architecture rendent la cible tenable ?</x:v>
      </x:c>
      <x:c r="D16" s="21"/>
      <x:c r="E16" s="21"/>
      <x:c r="F16" s="21"/>
      <x:c r="G16" s="21"/>
      <x:c r="H16" s="21" t="str">
        <x:v>Des objectifs plus courts coûtent généralement plus cher.</x:v>
      </x:c>
    </x:row>
    <x:row r="17" ht="44" customHeight="1">
      <x:c r="B17" s="22" t="str">
        <x:v>4</x:v>
      </x:c>
      <x:c r="C17" s="22" t="str">
        <x:v>Quel exercice daté prouve la capacité ?</x:v>
      </x:c>
      <x:c r="D17" s="22"/>
      <x:c r="E17" s="22"/>
      <x:c r="F17" s="22"/>
      <x:c r="G17" s="22"/>
      <x:c r="H17" s="22" t="str">
        <x:v>Conservez cible, résultat, écart et personne qui accepte.</x:v>
      </x:c>
    </x:row>
  </x:sheetData>
  <x:mergeCells>
    <x:mergeCell ref="A1:I2"/>
    <x:mergeCell ref="A3:I3"/>
    <x:mergeCell ref="B13:H13"/>
    <x:mergeCell ref="C14:G14"/>
    <x:mergeCell ref="C15:G15"/>
    <x:mergeCell ref="C16:G16"/>
    <x:mergeCell ref="C17:G17"/>
  </x:mergeCells>
  <x:dataValidations count="1">
    <x:dataValidation type="list" sqref="H6:H10">
      <x:formula1>"À accepter,Accepté,Refusé,STOP"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44" hidden="0" customWidth="1"/>
    <x:col min="3" max="3" width="18" hidden="0" customWidth="1"/>
    <x:col min="4" max="4" width="32" hidden="0" customWidth="1"/>
    <x:col min="5" max="5" width="16" hidden="0" customWidth="1"/>
    <x:col min="6" max="6" width="28" hidden="0" customWidth="1"/>
    <x:col min="7" max="7" width="26" hidden="0" customWidth="1"/>
    <x:col min="8" max="8" width="4" hidden="0" customWidth="1"/>
  </x:cols>
  <x:sheetData>
    <x:row r="1" ht="28" customHeight="1">
      <x:c r="A1" s="4" t="str">
        <x:v>RTO, RPO, exercice de restauration et comptes personnels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Hypothèses fictives et remplaçables. Une cellule d’entrée vide doit conduire à STOP, jamais à une fausse économie.</x:v>
      </x:c>
      <x:c r="B3" s="8"/>
      <x:c r="C3" s="8"/>
      <x:c r="D3" s="8"/>
      <x:c r="E3" s="8"/>
      <x:c r="F3" s="8"/>
      <x:c r="G3" s="8"/>
      <x:c r="H3" s="8"/>
    </x:row>
    <x:row r="5">
      <x:c r="B5" s="13" t="str">
        <x:v>Hypothèses de continuité</x:v>
      </x:c>
      <x:c r="C5" s="13"/>
      <x:c r="D5" s="13"/>
      <x:c r="E5" s="13"/>
      <x:c r="F5" s="13"/>
      <x:c r="G5" s="13"/>
    </x:row>
    <x:row r="6" ht="28" customHeight="1">
      <x:c r="B6" s="16" t="str">
        <x:v>Événements métier par jour</x:v>
      </x:c>
      <x:c r="C6" s="66" t="n">
        <x:v>900</x:v>
      </x:c>
      <x:c r="D6" s="48" t="str">
        <x:v>Preuve de restauration datée</x:v>
      </x:c>
      <x:c r="E6" s="48" t="str">
        <x:v>Statut</x:v>
      </x:c>
      <x:c r="F6" s="48" t="str">
        <x:v>Effet sur le calcul</x:v>
      </x:c>
      <x:c r="G6" s="48"/>
    </x:row>
    <x:row r="7" ht="38" customHeight="1">
      <x:c r="B7" s="16" t="str">
        <x:v>Intervalle entre points restaurés et validés — actuel (h)</x:v>
      </x:c>
      <x:c r="C7" s="66" t="n">
        <x:v>24</x:v>
      </x:c>
      <x:c r="D7" s="16" t="str">
        <x:v>Point actuel</x:v>
      </x:c>
      <x:c r="E7" s="69" t="str">
        <x:v>Oui</x:v>
      </x:c>
      <x:c r="F7" s="21" t="str">
        <x:v>Exemple fictif : remplacez par votre résultat daté.</x:v>
      </x:c>
      <x:c r="G7" s="21"/>
    </x:row>
    <x:row r="8" ht="38" customHeight="1">
      <x:c r="B8" s="16" t="str">
        <x:v>Intervalle entre points restaurés et validés — amélioré (h)</x:v>
      </x:c>
      <x:c r="C8" s="66" t="n">
        <x:v>4</x:v>
      </x:c>
      <x:c r="D8" s="41" t="str">
        <x:v>Point amélioré</x:v>
      </x:c>
      <x:c r="E8" s="70" t="str">
        <x:v>Oui</x:v>
      </x:c>
      <x:c r="F8" s="22" t="str">
        <x:v>« Non » ou « Inconnu » force le RPO concerné à STOP.</x:v>
      </x:c>
      <x:c r="G8" s="22"/>
    </x:row>
    <x:row r="9" ht="28" customHeight="1">
      <x:c r="B9" s="16" t="str">
        <x:v>Minutes pour reconstruire un événement</x:v>
      </x:c>
      <x:c r="C9" s="66" t="n">
        <x:v>6</x:v>
      </x:c>
    </x:row>
    <x:row r="10" ht="28" customHeight="1">
      <x:c r="B10" s="16" t="str">
        <x:v>Coût horaire de reconstruction (€)</x:v>
      </x:c>
      <x:c r="C10" s="66" t="n">
        <x:v>45</x:v>
      </x:c>
    </x:row>
    <x:row r="11" ht="28" customHeight="1">
      <x:c r="B11" s="16" t="str">
        <x:v>Contribution mensuelle exposée (€)</x:v>
      </x:c>
      <x:c r="C11" s="66" t="n">
        <x:v>22500</x:v>
      </x:c>
    </x:row>
    <x:row r="12" ht="28" customHeight="1">
      <x:c r="B12" s="16" t="str">
        <x:v>Personnes mobilisées</x:v>
      </x:c>
      <x:c r="C12" s="66" t="n">
        <x:v>2</x:v>
      </x:c>
    </x:row>
    <x:row r="13" ht="28" customHeight="1">
      <x:c r="B13" s="16" t="str">
        <x:v>Coût horaire interne par personne (€)</x:v>
      </x:c>
      <x:c r="C13" s="66" t="n">
        <x:v>55</x:v>
      </x:c>
    </x:row>
    <x:row r="14" ht="28" customHeight="1">
      <x:c r="B14" s="16" t="str">
        <x:v>Heures externes de l’exercice</x:v>
      </x:c>
      <x:c r="C14" s="66" t="n">
        <x:v>6</x:v>
      </x:c>
    </x:row>
    <x:row r="15" ht="28" customHeight="1">
      <x:c r="B15" s="16" t="str">
        <x:v>Tarif externe de l’exercice (€ / h)</x:v>
      </x:c>
      <x:c r="C15" s="66" t="n">
        <x:v>95</x:v>
      </x:c>
    </x:row>
    <x:row r="16" ht="28" customHeight="1">
      <x:c r="B16" s="16" t="str">
        <x:v>Heures internes de l’exercice</x:v>
      </x:c>
      <x:c r="C16" s="66" t="n">
        <x:v>2</x:v>
      </x:c>
    </x:row>
    <x:row r="17" ht="28" customHeight="1">
      <x:c r="B17" s="16" t="str">
        <x:v>Probabilité annuelle d’incident (%)</x:v>
      </x:c>
      <x:c r="C17" s="66" t="n">
        <x:v>25</x:v>
      </x:c>
    </x:row>
    <x:row r="18" ht="28" customHeight="1">
      <x:c r="B18" s="16" t="str">
        <x:v>Arrêt court illustratif (h)</x:v>
      </x:c>
      <x:c r="C18" s="66" t="n">
        <x:v>8</x:v>
      </x:c>
    </x:row>
    <x:row r="19" ht="28" customHeight="1">
      <x:c r="B19" s="41" t="str">
        <x:v>Arrêt long illustratif (h)</x:v>
      </x:c>
      <x:c r="C19" s="67" t="n">
        <x:v>36</x:v>
      </x:c>
    </x:row>
    <x:row r="21">
      <x:c r="B21" s="13" t="str">
        <x:v>Exposition liée au point de reprise</x:v>
      </x:c>
      <x:c r="C21" s="13"/>
      <x:c r="D21" s="13"/>
      <x:c r="E21" s="13"/>
      <x:c r="F21" s="13"/>
      <x:c r="G21" s="13"/>
    </x:row>
    <x:row r="22" ht="28" customHeight="1">
      <x:c r="B22" s="21" t="str">
        <x:v>Point restauré actuel — événements maximum</x:v>
      </x:c>
      <x:c r="C22" s="42" t="n">
        <x:f>IF(AND(COUNT(C6,C7,C9,C10)=4,E7="Oui",C6&gt;=0,C6&lt;=1000000000000,C7&gt;0,C7&lt;=8760,C9&gt;=0,C9&lt;=1000000000000,C10&gt;=0,C10&lt;=1000000000000),C6*C7/24,"STOP")</x:f>
        <x:v>900</x:v>
      </x:c>
      <x:c r="E22" s="92" t="str">
        <x:v>Lecture</x:v>
      </x:c>
      <x:c r="F22" s="91"/>
      <x:c r="G22" s="91"/>
    </x:row>
    <x:row r="23" ht="58" customHeight="1">
      <x:c r="B23" s="21" t="str">
        <x:v>Point restauré actuel — événements moyens</x:v>
      </x:c>
      <x:c r="C23" s="42" t="n">
        <x:f>IF(COUNT(C22)=1,C22/2,"STOP")</x:f>
        <x:v>450</x:v>
      </x:c>
      <x:c r="E23" s="91" t="str">
        <x:v>Avec une restauration datée réussie, 900 événements par jour et 24 h entre deux points validés exposent au maximum 900 événements, 450 en moyenne.</x:v>
      </x:c>
      <x:c r="F23" s="91"/>
      <x:c r="G23" s="91"/>
    </x:row>
    <x:row r="24" ht="28" customHeight="1">
      <x:c r="B24" s="21" t="str">
        <x:v>Point restauré actuel — coût maximum de reconstruction</x:v>
      </x:c>
      <x:c r="C24" s="79" t="n">
        <x:f>IF(COUNT(C22,C9,C10)=3,C22*C9/60*C10,"STOP")</x:f>
        <x:v>4050</x:v>
      </x:c>
      <x:c r="E24" s="91"/>
      <x:c r="F24" s="91"/>
      <x:c r="G24" s="91"/>
    </x:row>
    <x:row r="25" ht="38" customHeight="1">
      <x:c r="B25" s="21" t="str"/>
      <x:c r="C25" s="42"/>
      <x:c r="E25" s="91" t="str">
        <x:v>Avec une restauration datée réussie, 4 h entre deux points validés donnent 150 événements maximum et 75 en moyenne.</x:v>
      </x:c>
      <x:c r="F25" s="91"/>
      <x:c r="G25" s="91"/>
    </x:row>
    <x:row r="26" ht="28" customHeight="1">
      <x:c r="B26" s="21" t="str">
        <x:v>Point restauré amélioré — événements maximum</x:v>
      </x:c>
      <x:c r="C26" s="42" t="n">
        <x:f>IF(AND(COUNT(C6,C8,C9,C10)=4,E8="Oui",C6&gt;=0,C6&lt;=1000000000000,C8&gt;0,C8&lt;=8760,C9&gt;=0,C9&lt;=1000000000000,C10&gt;=0,C10&lt;=1000000000000),C6*C8/24,"STOP")</x:f>
        <x:v>150</x:v>
      </x:c>
      <x:c r="E26" s="91"/>
      <x:c r="F26" s="91"/>
      <x:c r="G26" s="91"/>
    </x:row>
    <x:row r="27" ht="28" customHeight="1">
      <x:c r="B27" s="21" t="str">
        <x:v>Point restauré amélioré — événements moyens</x:v>
      </x:c>
      <x:c r="C27" s="42" t="n">
        <x:f>IF(COUNT(C26)=1,C26/2,"STOP")</x:f>
        <x:v>75</x:v>
      </x:c>
      <x:c r="E27" s="91"/>
      <x:c r="F27" s="91"/>
      <x:c r="G27" s="91"/>
    </x:row>
    <x:row r="28" ht="28" customHeight="1">
      <x:c r="B28" s="22" t="str">
        <x:v>Point restauré amélioré — coût maximum de reconstruction</x:v>
      </x:c>
      <x:c r="C28" s="80" t="n">
        <x:f>IF(COUNT(C26,C9,C10)=3,C26*C9/60*C10,"STOP")</x:f>
        <x:v>675</x:v>
      </x:c>
      <x:c r="E28" s="91"/>
      <x:c r="F28" s="91"/>
      <x:c r="G28" s="91"/>
    </x:row>
    <x:row r="29" ht="44" customHeight="1">
      <x:c r="E29" s="91" t="str">
        <x:v>Le seuil 4,81 h n’est valable qu’avec une probabilité annuelle d’incident de 100 %.</x:v>
      </x:c>
      <x:c r="F29" s="91"/>
      <x:c r="G29" s="91"/>
    </x:row>
    <x:row r="30">
      <x:c r="B30" s="13" t="str">
        <x:v>Exercice et ordres de grandeur d’un arrêt</x:v>
      </x:c>
      <x:c r="C30" s="13"/>
      <x:c r="D30" s="13"/>
      <x:c r="E30" s="13"/>
      <x:c r="F30" s="13"/>
      <x:c r="G30" s="13"/>
    </x:row>
    <x:row r="31" ht="44" customHeight="1">
      <x:c r="B31" s="21" t="str">
        <x:v>Coût direct de l’exercice</x:v>
      </x:c>
      <x:c r="C31" s="79" t="n">
        <x:f>IF(AND(COUNT(C11:C17)=7,COUNTIF(C11:C17,"&lt;0")=0,COUNTIF(C11:C16,"&gt;1000000000000")=0,C12=ROUND(C12,0),C17&lt;=100),C14*C15+C16*C13,"STOP")</x:f>
        <x:v>680</x:v>
      </x:c>
      <x:c r="E31" s="91" t="str">
        <x:v>À 25 %, le scénario affiche 19,26 h ; à 10 %, 48,14 h.</x:v>
      </x:c>
      <x:c r="F31" s="91"/>
      <x:c r="G31" s="91"/>
    </x:row>
    <x:row r="32" ht="30" customHeight="1">
      <x:c r="B32" s="21" t="str">
        <x:v>Exposition horaire illustrée</x:v>
      </x:c>
      <x:c r="C32" s="79" t="n">
        <x:f>IF(AND(COUNT(C11:C17)=7,COUNTIF(C11:C17,"&lt;0")=0,COUNTIF(C11:C16,"&gt;1000000000000")=0,C12=ROUND(C12,0),C17&lt;=100),C11/(30*24)+C12*C13,"STOP")</x:f>
        <x:v>141.25</x:v>
      </x:c>
      <x:c r="E32" s="91"/>
      <x:c r="F32" s="91"/>
      <x:c r="G32" s="91"/>
    </x:row>
    <x:row r="33" ht="30" customHeight="1">
      <x:c r="B33" s="21" t="str">
        <x:v>Heures évitées au seuil, probabilité incluse</x:v>
      </x:c>
      <x:c r="C33" s="85" t="n">
        <x:f>IF(AND(COUNT(C31:C32)=2,C17&gt;0,C17&lt;=100,C32&gt;0),C31/(C17/100*C32),"STOP")</x:f>
        <x:v>19.256637168141594</x:v>
      </x:c>
      <x:c r="E33" s="91"/>
      <x:c r="F33" s="91"/>
      <x:c r="G33" s="91"/>
    </x:row>
    <x:row r="34" ht="48" customHeight="1">
      <x:c r="B34" s="21" t="str"/>
      <x:c r="C34" s="42"/>
      <x:c r="E34" s="91" t="str">
        <x:v>Le salaire valorisé représente une capacité mobilisée, pas nécessairement une économie de trésorerie.</x:v>
      </x:c>
      <x:c r="F34" s="91"/>
      <x:c r="G34" s="91"/>
    </x:row>
    <x:row r="35" ht="30" customHeight="1">
      <x:c r="B35" s="21" t="str">
        <x:v>Arrêt court — contribution + capacité</x:v>
      </x:c>
      <x:c r="C35" s="79" t="n">
        <x:f>IF(AND(COUNT(C18,C32)=2,C18&gt;=0,C18&lt;=1000000000000),C18*C32,"STOP")</x:f>
        <x:v>1130</x:v>
      </x:c>
      <x:c r="E35" s="91"/>
      <x:c r="F35" s="91"/>
      <x:c r="G35" s="91"/>
    </x:row>
    <x:row r="36" ht="30" customHeight="1">
      <x:c r="B36" s="22" t="str">
        <x:v>Arrêt long — contribution + capacité</x:v>
      </x:c>
      <x:c r="C36" s="80" t="n">
        <x:f>IF(AND(COUNT(C19,C32)=2,C19&gt;=0,C19&lt;=1000000000000),C19*C32,"STOP")</x:f>
        <x:v>5085</x:v>
      </x:c>
      <x:c r="E36" s="91"/>
      <x:c r="F36" s="91"/>
      <x:c r="G36" s="91"/>
    </x:row>
    <x:row r="38">
      <x:c r="B38" s="13" t="str">
        <x:v>Récupération de comptes personnels</x:v>
      </x:c>
      <x:c r="C38" s="13"/>
      <x:c r="D38" s="13"/>
      <x:c r="E38" s="13"/>
      <x:c r="F38" s="13"/>
      <x:c r="G38" s="13"/>
    </x:row>
    <x:row r="39" ht="28" customHeight="1">
      <x:c r="B39" s="16" t="str">
        <x:v>Services personnels à récupérer</x:v>
      </x:c>
      <x:c r="C39" s="50" t="n">
        <x:v>4</x:v>
      </x:c>
    </x:row>
    <x:row r="40" ht="28" customHeight="1">
      <x:c r="B40" s="16" t="str">
        <x:v>Heures externes préparées / service</x:v>
      </x:c>
      <x:c r="C40" s="50" t="n">
        <x:v>2</x:v>
      </x:c>
    </x:row>
    <x:row r="41" ht="28" customHeight="1">
      <x:c r="B41" s="16" t="str">
        <x:v>Heures externes en crise / service</x:v>
      </x:c>
      <x:c r="C41" s="50" t="n">
        <x:v>6</x:v>
      </x:c>
    </x:row>
    <x:row r="42" ht="28" customHeight="1">
      <x:c r="B42" s="16" t="str">
        <x:v>Tarif externe (€ / h)</x:v>
      </x:c>
      <x:c r="C42" s="50" t="n">
        <x:v>95</x:v>
      </x:c>
    </x:row>
    <x:row r="43" ht="28" customHeight="1">
      <x:c r="B43" s="16" t="str">
        <x:v>Heures internes préparées / service</x:v>
      </x:c>
      <x:c r="C43" s="50" t="n">
        <x:v>1</x:v>
      </x:c>
    </x:row>
    <x:row r="44" ht="28" customHeight="1">
      <x:c r="B44" s="16" t="str">
        <x:v>Heures internes en crise / service</x:v>
      </x:c>
      <x:c r="C44" s="50" t="n">
        <x:v>2</x:v>
      </x:c>
    </x:row>
    <x:row r="45" ht="28" customHeight="1">
      <x:c r="B45" s="16" t="str">
        <x:v>Coût interne (€ / h)</x:v>
      </x:c>
      <x:c r="C45" s="50" t="n">
        <x:v>55</x:v>
      </x:c>
    </x:row>
    <x:row r="46" ht="28" customHeight="1">
      <x:c r="B46" s="41" t="str">
        <x:v>Outillage commun préparé (€)</x:v>
      </x:c>
      <x:c r="C46" s="51" t="n">
        <x:v>300</x:v>
      </x:c>
    </x:row>
    <x:row r="48" ht="30" customHeight="1">
      <x:c r="B48" s="21" t="str">
        <x:v>Passation préparée</x:v>
      </x:c>
      <x:c r="C48" s="79" t="n">
        <x:f>IF(AND(COUNT(C39:C46)=8,COUNTIF(C39:C46,"&lt;0")=0,COUNTIF(C39:C46,"&gt;1000000000000")=0,C39=ROUND(C39,0)),((C40*C42)+(C43*C45))*C39+C46,"STOP")</x:f>
        <x:v>1280</x:v>
      </x:c>
    </x:row>
    <x:row r="49" ht="30" customHeight="1">
      <x:c r="B49" s="21" t="str">
        <x:v>Récupération en crise</x:v>
      </x:c>
      <x:c r="C49" s="79" t="n">
        <x:f>IF(AND(COUNT(C39:C46)=8,COUNTIF(C39:C46,"&lt;0")=0,COUNTIF(C39:C46,"&gt;1000000000000")=0,C39=ROUND(C39,0)),((C41*C42)+(C44*C45))*C39,"STOP")</x:f>
        <x:v>2720</x:v>
      </x:c>
    </x:row>
    <x:row r="50" ht="30" customHeight="1">
      <x:c r="B50" s="22" t="str">
        <x:v>Écart direct</x:v>
      </x:c>
      <x:c r="C50" s="80" t="n">
        <x:f>IF(COUNT(C48:C49)=2,C49-C48,"STOP")</x:f>
        <x:v>1440</x:v>
      </x:c>
    </x:row>
  </x:sheetData>
  <x:mergeCells>
    <x:mergeCell ref="A1:H2"/>
    <x:mergeCell ref="A3:H3"/>
    <x:mergeCell ref="B5:G5"/>
    <x:mergeCell ref="F6:G6"/>
    <x:mergeCell ref="F7:G7"/>
    <x:mergeCell ref="F8:G8"/>
    <x:mergeCell ref="B21:G21"/>
    <x:mergeCell ref="B30:G30"/>
    <x:mergeCell ref="B38:G38"/>
    <x:mergeCell ref="E22:G22"/>
    <x:mergeCell ref="E23:G23"/>
    <x:mergeCell ref="E25:G25"/>
    <x:mergeCell ref="E29:G29"/>
    <x:mergeCell ref="E31:G31"/>
    <x:mergeCell ref="E34:G34"/>
  </x:mergeCells>
  <x:dataValidations count="1">
    <x:dataValidation type="list" sqref="E7:E8">
      <x:formula1>"Oui,Non,Inconnu"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26" hidden="0" customWidth="1"/>
    <x:col min="7" max="7" width="24" hidden="0" customWidth="1"/>
    <x:col min="8" max="8" width="4" hidden="0" customWidth="1"/>
  </x:cols>
  <x:sheetData>
    <x:row r="1" ht="28" customHeight="1">
      <x:c r="A1" s="4" t="str">
        <x:v>TCO comparable sur 36 mois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Même horizon, même périmètre fonctionnel, hypothèses fictives. Remplacez chaque cellule bleue ; une inconnue ne doit pas être saisie comme zéro.</x:v>
      </x:c>
      <x:c r="B3" s="8"/>
      <x:c r="C3" s="8"/>
      <x:c r="D3" s="8"/>
      <x:c r="E3" s="8"/>
      <x:c r="F3" s="8"/>
      <x:c r="G3" s="8"/>
      <x:c r="H3" s="8"/>
    </x:row>
    <x:row r="5">
      <x:c r="B5" s="48" t="str">
        <x:v>Poste</x:v>
      </x:c>
      <x:c r="C5" s="48" t="str">
        <x:v>Stabiliser</x:v>
      </x:c>
      <x:c r="D5" s="48" t="str">
        <x:v>Migrer</x:v>
      </x:c>
      <x:c r="E5" s="48" t="str">
        <x:v>Réécrire</x:v>
      </x:c>
    </x:row>
    <x:row r="6" ht="34" customHeight="1">
      <x:c r="B6" s="21" t="str">
        <x:v>Audit, prise en main ou cadrage</x:v>
      </x:c>
      <x:c r="C6" s="93" t="n">
        <x:v>9000</x:v>
      </x:c>
      <x:c r="D6" s="93" t="n">
        <x:v>9000</x:v>
      </x:c>
      <x:c r="E6" s="93" t="n">
        <x:v>14000</x:v>
      </x:c>
    </x:row>
    <x:row r="7" ht="34" customHeight="1">
      <x:c r="B7" s="21" t="str">
        <x:v>Stabilisation, migration ou construction</x:v>
      </x:c>
      <x:c r="C7" s="93" t="n">
        <x:v>18000</x:v>
      </x:c>
      <x:c r="D7" s="93" t="n">
        <x:v>67000</x:v>
      </x:c>
      <x:c r="E7" s="93" t="n">
        <x:v>140000</x:v>
      </x:c>
    </x:row>
    <x:row r="8" ht="34" customHeight="1">
      <x:c r="B8" s="21" t="str">
        <x:v>Maintenance sur 36 mois</x:v>
      </x:c>
      <x:c r="C8" s="93" t="n">
        <x:v>79200</x:v>
      </x:c>
      <x:c r="D8" s="93" t="n">
        <x:v>64800</x:v>
      </x:c>
      <x:c r="E8" s="93" t="n">
        <x:v>60300</x:v>
      </x:c>
    </x:row>
    <x:row r="9" ht="34" customHeight="1">
      <x:c r="B9" s="21" t="str">
        <x:v>Infrastructure et surveillance sur 36 mois</x:v>
      </x:c>
      <x:c r="C9" s="93" t="n">
        <x:v>23400</x:v>
      </x:c>
      <x:c r="D9" s="93" t="n">
        <x:v>27000</x:v>
      </x:c>
      <x:c r="E9" s="93" t="n">
        <x:v>32400</x:v>
      </x:c>
    </x:row>
    <x:row r="10" ht="34" customHeight="1">
      <x:c r="B10" s="21" t="str">
        <x:v>Temps interne valorisé</x:v>
      </x:c>
      <x:c r="C10" s="93" t="n">
        <x:v>9900</x:v>
      </x:c>
      <x:c r="D10" s="93" t="n">
        <x:v>15840</x:v>
      </x:c>
      <x:c r="E10" s="93" t="n">
        <x:v>12100</x:v>
      </x:c>
    </x:row>
    <x:row r="11" ht="34" customHeight="1">
      <x:c r="B11" s="21" t="str">
        <x:v>Double exploitation</x:v>
      </x:c>
      <x:c r="C11" s="93" t="n">
        <x:v>0</x:v>
      </x:c>
      <x:c r="D11" s="93" t="n">
        <x:v>0</x:v>
      </x:c>
      <x:c r="E11" s="93" t="n">
        <x:v>12000</x:v>
      </x:c>
    </x:row>
    <x:row r="12" ht="34" customHeight="1">
      <x:c r="B12" s="22" t="str">
        <x:v>Sortie documentée</x:v>
      </x:c>
      <x:c r="C12" s="94" t="n">
        <x:v>2000</x:v>
      </x:c>
      <x:c r="D12" s="94" t="n">
        <x:v>3000</x:v>
      </x:c>
      <x:c r="E12" s="94" t="n">
        <x:v>4000</x:v>
      </x:c>
    </x:row>
    <x:row r="13">
      <x:c r="B13" s="95" t="str">
        <x:v>TCO 36 mois</x:v>
      </x:c>
      <x:c r="C13" s="75" t="n">
        <x:f>IF(AND(COUNT(C6:C12)=7,COUNTIF(C6:C12,"&lt;0")=0,COUNTIF(C6:C12,"&gt;1000000000000")=0),SUM(C6:C12),"STOP")</x:f>
        <x:v>141500</x:v>
      </x:c>
      <x:c r="D13" s="75" t="n">
        <x:f>IF(AND(COUNT(D6:D12)=7,COUNTIF(D6:D12,"&lt;0")=0,COUNTIF(D6:D12,"&gt;1000000000000")=0),SUM(D6:D12),"STOP")</x:f>
        <x:v>186640</x:v>
      </x:c>
      <x:c r="E13" s="75" t="n">
        <x:f>IF(AND(COUNT(E6:E12)=7,COUNTIF(E6:E12,"&lt;0")=0,COUNTIF(E6:E12,"&gt;1000000000000")=0),SUM(E6:E12),"STOP")</x:f>
        <x:v>274800</x:v>
      </x:c>
    </x:row>
    <x:row r="15">
      <x:c r="B15" s="13" t="str">
        <x:v>Seuil économique de la réécriture</x:v>
      </x:c>
      <x:c r="C15" s="13"/>
      <x:c r="D15" s="13"/>
      <x:c r="E15" s="13"/>
      <x:c r="F15" s="13"/>
      <x:c r="G15" s="13"/>
    </x:row>
    <x:row r="16" ht="30" customHeight="1">
      <x:c r="B16" s="16" t="str">
        <x:v>Surcoût réécriture vs stabilisation</x:v>
      </x:c>
      <x:c r="C16" s="80" t="n">
        <x:f>IF(COUNT(C13,E13)=2,E13-C13,"STOP")</x:f>
        <x:v>133300</x:v>
      </x:c>
      <x:c r="E16" s="92" t="str">
        <x:v>Lecture du scénario central</x:v>
      </x:c>
      <x:c r="F16" s="35"/>
      <x:c r="G16" s="35"/>
    </x:row>
    <x:row r="17" ht="42" customHeight="1">
      <x:c r="B17" s="16" t="str">
        <x:v>Contribution mensuelle par client (€)</x:v>
      </x:c>
      <x:c r="C17" s="93" t="n">
        <x:v>800</x:v>
      </x:c>
      <x:c r="E17" s="35" t="str">
        <x:v>141 500 € pour stabiliser ; 186 640 € pour migrer ; 274 800 € pour réécrire.</x:v>
      </x:c>
      <x:c r="F17" s="35"/>
      <x:c r="G17" s="35"/>
    </x:row>
    <x:row r="18" ht="42" customHeight="1">
      <x:c r="B18" s="16" t="str">
        <x:v>Mois productifs comparés</x:v>
      </x:c>
      <x:c r="C18" s="52" t="n">
        <x:v>27</x:v>
      </x:c>
      <x:c r="E18" s="35" t="str">
        <x:v>La réécriture coûte 133 300 € de plus que la stabilisation.</x:v>
      </x:c>
      <x:c r="F18" s="35"/>
      <x:c r="G18" s="35"/>
    </x:row>
    <x:row r="19" ht="42" customHeight="1">
      <x:c r="B19" s="16" t="str">
        <x:v>Clients-mois à conserver</x:v>
      </x:c>
      <x:c r="C19" s="103" t="n">
        <x:f>IF(AND(COUNT(C16:C18)=3,C17&gt;0,C17&lt;=1000000000000,C18&gt;0,C18&lt;=1000000000000),IF(C16&gt;0,C16/C17,0),"STOP")</x:f>
        <x:v>166.625</x:v>
      </x:c>
      <x:c r="E19" s="35" t="str">
        <x:v>À 800 € de contribution mensuelle pendant 27 mois : 166,63 clients-mois, soit une moyenne équivalente de 6,17 clients sur toute la période.</x:v>
      </x:c>
      <x:c r="F19" s="35"/>
      <x:c r="G19" s="35"/>
    </x:row>
    <x:row r="20" ht="42" customHeight="1">
      <x:c r="B20" s="16" t="str">
        <x:v>Clients équivalents sur toute la période</x:v>
      </x:c>
      <x:c r="C20" s="103" t="n">
        <x:f>IF(AND(COUNT(C18:C19)=2,C18&gt;0),C19/C18,"STOP")</x:f>
        <x:v>6.171296296296297</x:v>
      </x:c>
      <x:c r="E20" s="35" t="str">
        <x:v>Le classeur arrondit au supérieur : 7 clients dans ce scénario fictif.</x:v>
      </x:c>
      <x:c r="F20" s="35"/>
      <x:c r="G20" s="35"/>
    </x:row>
    <x:row r="21" ht="42" customHeight="1">
      <x:c r="B21" s="41" t="str">
        <x:v>Clients arrondis au supérieur</x:v>
      </x:c>
      <x:c r="C21" s="104" t="n">
        <x:f>IF(COUNT(C20)=1,ROUNDUP(C20,0),"STOP")</x:f>
        <x:v>7</x:v>
      </x:c>
      <x:c r="E21" s="35" t="str">
        <x:v>Limites : calendrier d’acquisition, probabilité de succès, coût du capital et différence de périmètre restent à chiffrer.</x:v>
      </x:c>
      <x:c r="F21" s="35"/>
      <x:c r="G21" s="35"/>
    </x:row>
  </x:sheetData>
  <x:mergeCells>
    <x:mergeCell ref="A1:H2"/>
    <x:mergeCell ref="A3:H3"/>
    <x:mergeCell ref="B15:G15"/>
    <x:mergeCell ref="E16:G16"/>
    <x:mergeCell ref="E17:G17"/>
    <x:mergeCell ref="E18:G18"/>
    <x:mergeCell ref="E19:G19"/>
    <x:mergeCell ref="E20:G20"/>
    <x:mergeCell ref="E21:G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1" hidden="0" customWidth="1"/>
    <x:col min="3" max="3" width="26" hidden="0" customWidth="1"/>
    <x:col min="4" max="4" width="24" hidden="0" customWidth="1"/>
    <x:col min="5" max="5" width="30" hidden="0" customWidth="1"/>
    <x:col min="6" max="6" width="30" hidden="0" customWidth="1"/>
    <x:col min="7" max="7" width="24" hidden="0" customWidth="1"/>
    <x:col min="8" max="8" width="4" hidden="0" customWidth="1"/>
  </x:cols>
  <x:sheetData>
    <x:row r="1" ht="28" customHeight="1">
      <x:c r="A1" s="4" t="str">
        <x:v>Décision et journal d’arbitrage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Le classeur route l’inconnu, l’incident et le litige vers STOP. Un TCO favorable ne remplace ni droits, ni preuves, ni maîtrise des données.</x:v>
      </x:c>
      <x:c r="B3" s="8"/>
      <x:c r="C3" s="8"/>
      <x:c r="D3" s="8"/>
      <x:c r="E3" s="8"/>
      <x:c r="F3" s="8"/>
      <x:c r="G3" s="8"/>
      <x:c r="H3" s="8"/>
    </x:row>
    <x:row r="5">
      <x:c r="B5" s="13" t="str">
        <x:v>Porte d’entrée</x:v>
      </x:c>
      <x:c r="C5" s="13"/>
      <x:c r="D5" s="13"/>
      <x:c r="E5" s="13"/>
      <x:c r="F5" s="13"/>
      <x:c r="G5" s="13"/>
    </x:row>
    <x:row r="6" ht="36" customHeight="1">
      <x:c r="B6" s="16" t="str">
        <x:v>Mode de transition</x:v>
      </x:c>
      <x:c r="C6" s="52" t="str">
        <x:v>INCONNU</x:v>
      </x:c>
      <x:c r="D6" s="21"/>
      <x:c r="E6" s="21"/>
      <x:c r="F6" s="21"/>
      <x:c r="G6" s="21"/>
    </x:row>
    <x:row r="7" ht="36" customHeight="1">
      <x:c r="B7" s="16" t="str">
        <x:v>Statut de la branche</x:v>
      </x:c>
      <x:c r="C7" s="42" t="str">
        <x:f>IF(C6="PASSATION NORMALE","PASS","STOP")</x:f>
        <x:v>STOP</x:v>
      </x:c>
      <x:c r="D7" s="21"/>
      <x:c r="E7" s="21"/>
      <x:c r="F7" s="21"/>
      <x:c r="G7" s="21"/>
    </x:row>
    <x:row r="8" ht="36" customHeight="1">
      <x:c r="B8" s="16" t="str">
        <x:v>Statut du modèle</x:v>
      </x:c>
      <x:c r="C8" s="42" t="str">
        <x:f>'CONTROLES'!B4</x:f>
        <x:v>MODEL STATUS: PASS</x:v>
      </x:c>
      <x:c r="D8" s="21"/>
      <x:c r="E8" s="21"/>
      <x:c r="F8" s="21"/>
      <x:c r="G8" s="21"/>
    </x:row>
    <x:row r="9" ht="36" customHeight="1">
      <x:c r="B9" s="16" t="str">
        <x:v>Décision calculée</x:v>
      </x:c>
      <x:c r="C9" s="43" t="str">
        <x:f>IF(C7="PASS",IF(C8="MODEL STATUS: PASS","POURSUIVRE SOUS PREUVES","STOP"),"STOP")</x:f>
        <x:v>STOP</x:v>
      </x:c>
      <x:c r="D9" s="21"/>
      <x:c r="E9" s="21"/>
      <x:c r="F9" s="21"/>
      <x:c r="G9" s="21"/>
    </x:row>
    <x:row r="10" ht="36" customHeight="1">
      <x:c r="B10" s="41" t="str">
        <x:v>Limite</x:v>
      </x:c>
      <x:c r="C10" s="22" t="str">
        <x:v>La décision finale appartient aux responsables métier, juridique, données, sécurité et technique. Ce fichier ne contient aucune donnée client.</x:v>
      </x:c>
      <x:c r="D10" s="22"/>
      <x:c r="E10" s="22"/>
      <x:c r="F10" s="22"/>
      <x:c r="G10" s="22"/>
    </x:row>
    <x:row r="12">
      <x:c r="B12" s="13" t="str">
        <x:v>Synthèse économique centrale</x:v>
      </x:c>
      <x:c r="C12" s="13"/>
      <x:c r="D12" s="13"/>
      <x:c r="E12" s="13"/>
      <x:c r="F12" s="13"/>
      <x:c r="G12" s="13"/>
    </x:row>
    <x:row r="13" ht="28" customHeight="1">
      <x:c r="B13" s="16" t="str">
        <x:v>TCO stabilisation</x:v>
      </x:c>
      <x:c r="C13" s="79" t="n">
        <x:f>'TCO_36_MOIS'!C13</x:f>
        <x:v>141500</x:v>
      </x:c>
    </x:row>
    <x:row r="14" ht="28" customHeight="1">
      <x:c r="B14" s="16" t="str">
        <x:v>TCO migration</x:v>
      </x:c>
      <x:c r="C14" s="79" t="n">
        <x:f>'TCO_36_MOIS'!D13</x:f>
        <x:v>186640</x:v>
      </x:c>
    </x:row>
    <x:row r="15" ht="28" customHeight="1">
      <x:c r="B15" s="16" t="str">
        <x:v>TCO réécriture</x:v>
      </x:c>
      <x:c r="C15" s="79" t="n">
        <x:f>'TCO_36_MOIS'!E13</x:f>
        <x:v>274800</x:v>
      </x:c>
    </x:row>
    <x:row r="16" ht="28" customHeight="1">
      <x:c r="B16" s="16" t="str">
        <x:v>Surcoût réécriture</x:v>
      </x:c>
      <x:c r="C16" s="79" t="n">
        <x:f>'TCO_36_MOIS'!C16</x:f>
        <x:v>133300</x:v>
      </x:c>
    </x:row>
    <x:row r="17" ht="28" customHeight="1">
      <x:c r="B17" s="16" t="str">
        <x:v>RPO 24 h — événements max.</x:v>
      </x:c>
      <x:c r="C17" s="42" t="n">
        <x:f>'RTO_RPO'!C22</x:f>
        <x:v>900</x:v>
      </x:c>
    </x:row>
    <x:row r="18" ht="28" customHeight="1">
      <x:c r="B18" s="16" t="str">
        <x:v>RPO 4 h — événements max.</x:v>
      </x:c>
      <x:c r="C18" s="42" t="n">
        <x:f>'RTO_RPO'!C26</x:f>
        <x:v>150</x:v>
      </x:c>
    </x:row>
    <x:row r="19" ht="28" customHeight="1">
      <x:c r="B19" s="16" t="str">
        <x:v>Exercice de restauration</x:v>
      </x:c>
      <x:c r="C19" s="79" t="n">
        <x:f>'RTO_RPO'!C31</x:f>
        <x:v>680</x:v>
      </x:c>
    </x:row>
    <x:row r="20" ht="28" customHeight="1">
      <x:c r="B20" s="41" t="str">
        <x:v>Passation vs crise — écart</x:v>
      </x:c>
      <x:c r="C20" s="80" t="n">
        <x:f>'RTO_RPO'!C50</x:f>
        <x:v>1440</x:v>
      </x:c>
    </x:row>
    <x:row r="22">
      <x:c r="B22" s="13" t="str">
        <x:v>Journal à compléter sans secret</x:v>
      </x:c>
      <x:c r="C22" s="13"/>
      <x:c r="D22" s="13"/>
      <x:c r="E22" s="13"/>
      <x:c r="F22" s="13"/>
      <x:c r="G22" s="13"/>
    </x:row>
    <x:row r="23">
      <x:c r="B23" s="48" t="str">
        <x:v>Date</x:v>
      </x:c>
      <x:c r="C23" s="48" t="str">
        <x:v>Décideur</x:v>
      </x:c>
      <x:c r="D23" s="48" t="str">
        <x:v>Décision</x:v>
      </x:c>
      <x:c r="E23" s="48" t="str">
        <x:v>Preuve référencée</x:v>
      </x:c>
      <x:c r="F23" s="48" t="str">
        <x:v>Inconnue / limite</x:v>
      </x:c>
      <x:c r="G23" s="48" t="str">
        <x:v>Statut</x:v>
      </x:c>
    </x:row>
    <x:row r="24" ht="38" customHeight="1">
      <x:c r="B24" s="50" t="str"/>
      <x:c r="C24" s="50" t="str"/>
      <x:c r="D24" s="50" t="str"/>
      <x:c r="E24" s="50" t="str"/>
      <x:c r="F24" s="50" t="str"/>
      <x:c r="G24" s="50" t="str">
        <x:v>À documenter</x:v>
      </x:c>
    </x:row>
    <x:row r="25" ht="38" customHeight="1">
      <x:c r="B25" s="50" t="str"/>
      <x:c r="C25" s="50" t="str"/>
      <x:c r="D25" s="50" t="str"/>
      <x:c r="E25" s="50" t="str"/>
      <x:c r="F25" s="50" t="str"/>
      <x:c r="G25" s="50" t="str">
        <x:v>À documenter</x:v>
      </x:c>
    </x:row>
    <x:row r="26" ht="38" customHeight="1">
      <x:c r="B26" s="50" t="str"/>
      <x:c r="C26" s="50" t="str"/>
      <x:c r="D26" s="50" t="str"/>
      <x:c r="E26" s="50" t="str"/>
      <x:c r="F26" s="50" t="str"/>
      <x:c r="G26" s="50" t="str">
        <x:v>À documenter</x:v>
      </x:c>
    </x:row>
    <x:row r="27" ht="38" customHeight="1">
      <x:c r="B27" s="50" t="str"/>
      <x:c r="C27" s="50" t="str"/>
      <x:c r="D27" s="50" t="str"/>
      <x:c r="E27" s="50" t="str"/>
      <x:c r="F27" s="50" t="str"/>
      <x:c r="G27" s="50" t="str">
        <x:v>À documenter</x:v>
      </x:c>
    </x:row>
    <x:row r="28" ht="38" customHeight="1">
      <x:c r="B28" s="50" t="str"/>
      <x:c r="C28" s="50" t="str"/>
      <x:c r="D28" s="50" t="str"/>
      <x:c r="E28" s="50" t="str"/>
      <x:c r="F28" s="50" t="str"/>
      <x:c r="G28" s="50" t="str">
        <x:v>À documenter</x:v>
      </x:c>
    </x:row>
    <x:row r="29" ht="38" customHeight="1">
      <x:c r="B29" s="51" t="str"/>
      <x:c r="C29" s="51" t="str"/>
      <x:c r="D29" s="51" t="str"/>
      <x:c r="E29" s="51" t="str"/>
      <x:c r="F29" s="51" t="str"/>
      <x:c r="G29" s="51" t="str">
        <x:v>À documenter</x:v>
      </x:c>
    </x:row>
  </x:sheetData>
  <x:mergeCells>
    <x:mergeCell ref="A1:H2"/>
    <x:mergeCell ref="A3:H3"/>
    <x:mergeCell ref="B5:G5"/>
    <x:mergeCell ref="C10:G10"/>
    <x:mergeCell ref="B12:G12"/>
    <x:mergeCell ref="B22:G22"/>
  </x:mergeCells>
  <x:dataValidations count="2">
    <x:dataValidation type="list" sqref="C6">
      <x:formula1>"INCONNU,PASSATION NORMALE,INCIDENT / LITIGE"</x:formula1>
    </x:dataValidation>
    <x:dataValidation type="list" sqref="G24:G29">
      <x:formula1>"À documenter,Accepté,À revoir,STOP"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7" hidden="0" customWidth="1"/>
    <x:col min="3" max="3" width="31" hidden="0" customWidth="1"/>
    <x:col min="4" max="4" width="36" hidden="0" customWidth="1"/>
    <x:col min="5" max="5" width="25" hidden="0" customWidth="1"/>
    <x:col min="6" max="6" width="23" hidden="0" customWidth="1"/>
    <x:col min="7" max="7" width="18" hidden="0" customWidth="1"/>
    <x:col min="8" max="8" width="4" hidden="0" customWidth="1"/>
  </x:cols>
  <x:sheetData>
    <x:row r="1" ht="28" customHeight="1">
      <x:c r="A1" s="4" t="str">
        <x:v>Plan de sortie vivant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Préparez la prochaine passation dès la reprise. Une sortie crédible nomme les actifs, responsables, échéances, preuves et scénarios de rupture.</x:v>
      </x:c>
      <x:c r="B3" s="8"/>
      <x:c r="C3" s="8"/>
      <x:c r="D3" s="8"/>
      <x:c r="E3" s="8"/>
      <x:c r="F3" s="8"/>
      <x:c r="G3" s="8"/>
      <x:c r="H3" s="8"/>
    </x:row>
    <x:row r="5">
      <x:c r="B5" s="48" t="str">
        <x:v>ID</x:v>
      </x:c>
      <x:c r="C5" s="48" t="str">
        <x:v>Actif / exercice</x:v>
      </x:c>
      <x:c r="D5" s="48" t="str">
        <x:v>Preuve attendue</x:v>
      </x:c>
      <x:c r="E5" s="48" t="str">
        <x:v>Responsable</x:v>
      </x:c>
      <x:c r="F5" s="48" t="str">
        <x:v>Fréquence</x:v>
      </x:c>
      <x:c r="G5" s="48" t="str">
        <x:v>Statut</x:v>
      </x:c>
    </x:row>
    <x:row r="6" ht="52" customHeight="1">
      <x:c r="B6" s="21" t="str">
        <x:v>S-01</x:v>
      </x:c>
      <x:c r="C6" s="21" t="str">
        <x:v>Deux administrateurs nominatifs</x:v>
      </x:c>
      <x:c r="D6" s="21" t="str">
        <x:v>Connexion et récupération testées</x:v>
      </x:c>
      <x:c r="E6" s="21" t="str">
        <x:v>Direction + technique</x:v>
      </x:c>
      <x:c r="F6" s="21" t="str">
        <x:v>Trimestrielle</x:v>
      </x:c>
      <x:c r="G6" s="50" t="str">
        <x:v>À préparer</x:v>
      </x:c>
    </x:row>
    <x:row r="7" ht="52" customHeight="1">
      <x:c r="B7" s="21" t="str">
        <x:v>S-02</x:v>
      </x:c>
      <x:c r="C7" s="21" t="str">
        <x:v>Inventaire des comptes et facturations</x:v>
      </x:c>
      <x:c r="D7" s="21" t="str">
        <x:v>Titulaire, payeur, alertes et contact fournisseur</x:v>
      </x:c>
      <x:c r="E7" s="21" t="str">
        <x:v>Finance + technique</x:v>
      </x:c>
      <x:c r="F7" s="21" t="str">
        <x:v>Trimestrielle</x:v>
      </x:c>
      <x:c r="G7" s="50" t="str">
        <x:v>À préparer</x:v>
      </x:c>
    </x:row>
    <x:row r="8" ht="52" customHeight="1">
      <x:c r="B8" s="21" t="str">
        <x:v>S-03</x:v>
      </x:c>
      <x:c r="C8" s="21" t="str">
        <x:v>Dépôts, branches et artefacts</x:v>
      </x:c>
      <x:c r="D8" s="21" t="str">
        <x:v>Reconstruction depuis une machine neuve</x:v>
      </x:c>
      <x:c r="E8" s="21" t="str">
        <x:v>Responsable technique</x:v>
      </x:c>
      <x:c r="F8" s="21" t="str">
        <x:v>À chaque version majeure</x:v>
      </x:c>
      <x:c r="G8" s="50" t="str">
        <x:v>À préparer</x:v>
      </x:c>
    </x:row>
    <x:row r="9" ht="52" customHeight="1">
      <x:c r="B9" s="21" t="str">
        <x:v>S-04</x:v>
      </x:c>
      <x:c r="C9" s="21" t="str">
        <x:v>Infrastructure et configuration</x:v>
      </x:c>
      <x:c r="D9" s="21" t="str">
        <x:v>IaC ou procédure, dépendances et retour arrière</x:v>
      </x:c>
      <x:c r="E9" s="21" t="str">
        <x:v>Responsable technique</x:v>
      </x:c>
      <x:c r="F9" s="21" t="str">
        <x:v>Semestrielle</x:v>
      </x:c>
      <x:c r="G9" s="50" t="str">
        <x:v>À préparer</x:v>
      </x:c>
    </x:row>
    <x:row r="10" ht="52" customHeight="1">
      <x:c r="B10" s="21" t="str">
        <x:v>S-05</x:v>
      </x:c>
      <x:c r="C10" s="21" t="str">
        <x:v>Sauvegarde et restauration</x:v>
      </x:c>
      <x:c r="D10" s="21" t="str">
        <x:v>Point restauré, parcours rejoué, copie supprimée</x:v>
      </x:c>
      <x:c r="E10" s="21" t="str">
        <x:v>Données + technique</x:v>
      </x:c>
      <x:c r="F10" s="21" t="str">
        <x:v>Trimestrielle</x:v>
      </x:c>
      <x:c r="G10" s="50" t="str">
        <x:v>À préparer</x:v>
      </x:c>
    </x:row>
    <x:row r="11" ht="52" customHeight="1">
      <x:c r="B11" s="21" t="str">
        <x:v>S-06</x:v>
      </x:c>
      <x:c r="C11" s="21" t="str">
        <x:v>Droits et licences</x:v>
      </x:c>
      <x:c r="D11" s="21" t="str">
        <x:v>Cessions, licences tierces et restrictions revues</x:v>
      </x:c>
      <x:c r="E11" s="21" t="str">
        <x:v>Direction + conseil</x:v>
      </x:c>
      <x:c r="F11" s="21" t="str">
        <x:v>Annuelle</x:v>
      </x:c>
      <x:c r="G11" s="50" t="str">
        <x:v>À préparer</x:v>
      </x:c>
    </x:row>
    <x:row r="12" ht="52" customHeight="1">
      <x:c r="B12" s="21" t="str">
        <x:v>S-07</x:v>
      </x:c>
      <x:c r="C12" s="21" t="str">
        <x:v>Données personnelles</x:v>
      </x:c>
      <x:c r="D12" s="21" t="str">
        <x:v>Restitution, destruction et attestations prévues</x:v>
      </x:c>
      <x:c r="E12" s="21" t="str">
        <x:v>DPO / responsable données</x:v>
      </x:c>
      <x:c r="F12" s="21" t="str">
        <x:v>Annuelle</x:v>
      </x:c>
      <x:c r="G12" s="50" t="str">
        <x:v>À préparer</x:v>
      </x:c>
    </x:row>
    <x:row r="13" ht="52" customHeight="1">
      <x:c r="B13" s="21" t="str">
        <x:v>S-08</x:v>
      </x:c>
      <x:c r="C13" s="21" t="str">
        <x:v>Paiements et abonnements</x:v>
      </x:c>
      <x:c r="D13" s="21" t="str">
        <x:v>Propriétaire, clés renouvelées, test sans double débit</x:v>
      </x:c>
      <x:c r="E13" s="21" t="str">
        <x:v>Finance + technique</x:v>
      </x:c>
      <x:c r="F13" s="21" t="str">
        <x:v>Semestrielle</x:v>
      </x:c>
      <x:c r="G13" s="50" t="str">
        <x:v>À préparer</x:v>
      </x:c>
    </x:row>
    <x:row r="14" ht="52" customHeight="1">
      <x:c r="B14" s="21" t="str">
        <x:v>S-09</x:v>
      </x:c>
      <x:c r="C14" s="21" t="str">
        <x:v>Journaux, alertes et support</x:v>
      </x:c>
      <x:c r="D14" s="21" t="str">
        <x:v>Alerte reçue par deux personnes et ticket traité</x:v>
      </x:c>
      <x:c r="E14" s="21" t="str">
        <x:v>Support + technique</x:v>
      </x:c>
      <x:c r="F14" s="21" t="str">
        <x:v>Trimestrielle</x:v>
      </x:c>
      <x:c r="G14" s="50" t="str">
        <x:v>À préparer</x:v>
      </x:c>
    </x:row>
    <x:row r="15" ht="52" customHeight="1">
      <x:c r="B15" s="21" t="str">
        <x:v>S-10</x:v>
      </x:c>
      <x:c r="C15" s="21" t="str">
        <x:v>RTO/RPO par parcours</x:v>
      </x:c>
      <x:c r="D15" s="21" t="str">
        <x:v>Cibles, résultats, écarts et acceptation métier</x:v>
      </x:c>
      <x:c r="E15" s="21" t="str">
        <x:v>Direction métier</x:v>
      </x:c>
      <x:c r="F15" s="21" t="str">
        <x:v>Annuelle</x:v>
      </x:c>
      <x:c r="G15" s="50" t="str">
        <x:v>À préparer</x:v>
      </x:c>
    </x:row>
    <x:row r="16" ht="52" customHeight="1">
      <x:c r="B16" s="21" t="str">
        <x:v>S-11</x:v>
      </x:c>
      <x:c r="C16" s="21" t="str">
        <x:v>Budget de sortie</x:v>
      </x:c>
      <x:c r="D16" s="21" t="str">
        <x:v>Coût, capacité interne, assistance et réserve</x:v>
      </x:c>
      <x:c r="E16" s="21" t="str">
        <x:v>Direction + finance</x:v>
      </x:c>
      <x:c r="F16" s="21" t="str">
        <x:v>Annuelle</x:v>
      </x:c>
      <x:c r="G16" s="50" t="str">
        <x:v>À préparer</x:v>
      </x:c>
    </x:row>
    <x:row r="17" ht="52" customHeight="1">
      <x:c r="B17" s="22" t="str">
        <x:v>S-12</x:v>
      </x:c>
      <x:c r="C17" s="22" t="str">
        <x:v>Exercice de rupture</x:v>
      </x:c>
      <x:c r="D17" s="22" t="str">
        <x:v>Scénario incident, escalade et chronologie datée</x:v>
      </x:c>
      <x:c r="E17" s="22" t="str">
        <x:v>Direction + sécurité</x:v>
      </x:c>
      <x:c r="F17" s="22" t="str">
        <x:v>Annuelle</x:v>
      </x:c>
      <x:c r="G17" s="52" t="str">
        <x:v>À préparer</x:v>
      </x:c>
    </x:row>
  </x:sheetData>
  <x:mergeCells>
    <x:mergeCell ref="A1:H2"/>
    <x:mergeCell ref="A3:H3"/>
  </x:mergeCells>
  <x:dataValidations count="1">
    <x:dataValidation type="list" sqref="G6:G17">
      <x:formula1>"À préparer,En cours,PASS,STOP"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0" hidden="0" customWidth="1"/>
    <x:col min="3" max="3" width="24" hidden="0" customWidth="1"/>
    <x:col min="4" max="4" width="34" hidden="0" customWidth="1"/>
    <x:col min="5" max="5" width="64" hidden="0" customWidth="1"/>
    <x:col min="6" max="6" width="20" hidden="0" customWidth="1"/>
    <x:col min="7" max="7" width="28" hidden="0" customWidth="1"/>
  </x:cols>
  <x:sheetData>
    <x:row r="1" ht="28" customHeight="1">
      <x:c r="A1" s="4" t="str">
        <x:v>Matrice de 18 tests de reprise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3" ht="34" customHeight="1">
      <x:c r="A3" s="8" t="str">
        <x:v>N’exécutez que des tests autorisés, isolés et réversibles. Renseignez une référence de preuve, jamais une valeur secrète.</x:v>
      </x:c>
      <x:c r="B3" s="8"/>
      <x:c r="C3" s="8"/>
      <x:c r="D3" s="8"/>
      <x:c r="E3" s="8"/>
      <x:c r="F3" s="8"/>
      <x:c r="G3" s="8"/>
    </x:row>
    <x:row r="5">
      <x:c r="B5" s="48" t="str">
        <x:v>ID</x:v>
      </x:c>
      <x:c r="C5" s="48" t="str">
        <x:v>Famille</x:v>
      </x:c>
      <x:c r="D5" s="48" t="str">
        <x:v>Cas</x:v>
      </x:c>
      <x:c r="E5" s="48" t="str">
        <x:v>Résultat attendu</x:v>
      </x:c>
      <x:c r="F5" s="48" t="str">
        <x:v>Statut</x:v>
      </x:c>
      <x:c r="G5" s="48" t="str">
        <x:v>Preuve / ticket</x:v>
      </x:c>
    </x:row>
    <x:row r="6" ht="58" customHeight="1">
      <x:c r="B6" s="21" t="str">
        <x:v>R-01</x:v>
      </x:c>
      <x:c r="C6" s="21" t="str">
        <x:v>Gouvernance</x:v>
      </x:c>
      <x:c r="D6" s="21" t="str">
        <x:v>Propriétaire du dépôt principal</x:v>
      </x:c>
      <x:c r="E6" s="21" t="str">
        <x:v>L’entreprise contrôle l’organisation, deux administrateurs nominatifs sont testés et l’ancien propriétaire n’a plus de droit implicite.</x:v>
      </x:c>
      <x:c r="F6" s="50" t="str">
        <x:v>À tester</x:v>
      </x:c>
      <x:c r="G6" s="50" t="str"/>
    </x:row>
    <x:row r="7" ht="58" customHeight="1">
      <x:c r="B7" s="21" t="str">
        <x:v>R-02</x:v>
      </x:c>
      <x:c r="C7" s="21" t="str">
        <x:v>Gouvernance</x:v>
      </x:c>
      <x:c r="D7" s="21" t="str">
        <x:v>Fin de contrat du freelance</x:v>
      </x:c>
      <x:c r="E7" s="21" t="str">
        <x:v>Les accès sont désactivés à l’échéance, sauf prolongation écrite, bornée, nominative, minimale et journalisée.</x:v>
      </x:c>
      <x:c r="F7" s="50" t="str">
        <x:v>À tester</x:v>
      </x:c>
      <x:c r="G7" s="50" t="str"/>
    </x:row>
    <x:row r="8" ht="58" customHeight="1">
      <x:c r="B8" s="21" t="str">
        <x:v>R-03</x:v>
      </x:c>
      <x:c r="C8" s="21" t="str">
        <x:v>Code et livraison</x:v>
      </x:c>
      <x:c r="D8" s="21" t="str">
        <x:v>Reconstruction depuis une machine neuve</x:v>
      </x:c>
      <x:c r="E8" s="21" t="str">
        <x:v>Une personne autorisée reconstruit et déploie une version avec les seules procédures et dépendances documentées.</x:v>
      </x:c>
      <x:c r="F8" s="50" t="str">
        <x:v>À tester</x:v>
      </x:c>
      <x:c r="G8" s="50" t="str"/>
    </x:row>
    <x:row r="9" ht="58" customHeight="1">
      <x:c r="B9" s="21" t="str">
        <x:v>R-04</x:v>
      </x:c>
      <x:c r="C9" s="21" t="str">
        <x:v>Code et livraison</x:v>
      </x:c>
      <x:c r="D9" s="21" t="str">
        <x:v>Transfert du dépôt GitHub</x:v>
      </x:c>
      <x:c r="E9" s="21" t="str">
        <x:v>Les collaborateurs, webhooks, secrets et clés de déploiement sont contrôlés séparément après le transfert.</x:v>
      </x:c>
      <x:c r="F9" s="50" t="str">
        <x:v>À tester</x:v>
      </x:c>
      <x:c r="G9" s="50" t="str"/>
    </x:row>
    <x:row r="10" ht="58" customHeight="1">
      <x:c r="B10" s="21" t="str">
        <x:v>R-05</x:v>
      </x:c>
      <x:c r="C10" s="21" t="str">
        <x:v>Infrastructure</x:v>
      </x:c>
      <x:c r="D10" s="21" t="str">
        <x:v>Transfert du projet d’hébergement</x:v>
      </x:c>
      <x:c r="E10" s="21" t="str">
        <x:v>Intégrations, drains de logs, stockage et variables externes sont inventoriés car le transfert du projet ne les emporte pas tous.</x:v>
      </x:c>
      <x:c r="F10" s="50" t="str">
        <x:v>À tester</x:v>
      </x:c>
      <x:c r="G10" s="50" t="str"/>
    </x:row>
    <x:row r="11" ht="58" customHeight="1">
      <x:c r="B11" s="21" t="str">
        <x:v>R-06</x:v>
      </x:c>
      <x:c r="C11" s="21" t="str">
        <x:v>Infrastructure</x:v>
      </x:c>
      <x:c r="D11" s="21" t="str">
        <x:v>Restauration protégée</x:v>
      </x:c>
      <x:c r="E11" s="21" t="str">
        <x:v>Une copie restaurée hors production permet de rejouer un parcours critique sans modifier le service actif.</x:v>
      </x:c>
      <x:c r="F11" s="50" t="str">
        <x:v>À tester</x:v>
      </x:c>
      <x:c r="G11" s="50" t="str"/>
    </x:row>
    <x:row r="12" ht="58" customHeight="1">
      <x:c r="B12" s="21" t="str">
        <x:v>R-07</x:v>
      </x:c>
      <x:c r="C12" s="21" t="str">
        <x:v>Continuité</x:v>
      </x:c>
      <x:c r="D12" s="21" t="str">
        <x:v>RTO du parcours de paiement</x:v>
      </x:c>
      <x:c r="E12" s="21" t="str">
        <x:v>Le métier accepte une durée maximale d’arrêt, un responsable, une date de test et les conséquences si la cible n’est pas tenue.</x:v>
      </x:c>
      <x:c r="F12" s="50" t="str">
        <x:v>À tester</x:v>
      </x:c>
      <x:c r="G12" s="50" t="str"/>
    </x:row>
    <x:row r="13" ht="58" customHeight="1">
      <x:c r="B13" s="21" t="str">
        <x:v>R-08</x:v>
      </x:c>
      <x:c r="C13" s="21" t="str">
        <x:v>Continuité</x:v>
      </x:c>
      <x:c r="D13" s="21" t="str">
        <x:v>RPO d’une action métier</x:v>
      </x:c>
      <x:c r="E13" s="21" t="str">
        <x:v>La perte maximale de données est reliée au volume d’événements, au coût de reconstruction et à un point restauré effectivement validé.</x:v>
      </x:c>
      <x:c r="F13" s="50" t="str">
        <x:v>À tester</x:v>
      </x:c>
      <x:c r="G13" s="50" t="str"/>
    </x:row>
    <x:row r="14" ht="58" customHeight="1">
      <x:c r="B14" s="21" t="str">
        <x:v>R-09</x:v>
      </x:c>
      <x:c r="C14" s="21" t="str">
        <x:v>Paiements</x:v>
      </x:c>
      <x:c r="D14" s="21" t="str">
        <x:v>Conservation du même compte Stripe</x:v>
      </x:c>
      <x:c r="E14" s="21" t="str">
        <x:v>Le propriétaire du compte est modifié sans recréer les abonnements et les clés sont renouvelées après contrôle.</x:v>
      </x:c>
      <x:c r="F14" s="50" t="str">
        <x:v>À tester</x:v>
      </x:c>
      <x:c r="G14" s="50" t="str"/>
    </x:row>
    <x:row r="15" ht="58" customHeight="1">
      <x:c r="B15" s="21" t="str">
        <x:v>R-10</x:v>
      </x:c>
      <x:c r="C15" s="21" t="str">
        <x:v>Paiements</x:v>
      </x:c>
      <x:c r="D15" s="21" t="str">
        <x:v>Migration vers un nouveau compte Stripe</x:v>
      </x:c>
      <x:c r="E15" s="21" t="str">
        <x:v>La migration est testée en environnement de test, les anciens et nouveaux prélèvements sont séquencés et le double débit est empêché.</x:v>
      </x:c>
      <x:c r="F15" s="50" t="str">
        <x:v>À tester</x:v>
      </x:c>
      <x:c r="G15" s="50" t="str"/>
    </x:row>
    <x:row r="16" ht="58" customHeight="1">
      <x:c r="B16" s="21" t="str">
        <x:v>R-11</x:v>
      </x:c>
      <x:c r="C16" s="21" t="str">
        <x:v>Données</x:v>
      </x:c>
      <x:c r="D16" s="21" t="str">
        <x:v>Restitution des données personnelles</x:v>
      </x:c>
      <x:c r="E16" s="21" t="str">
        <x:v>Le format, le périmètre, le délai, le responsable et la vérification de l’export sont écrits avant suppression.</x:v>
      </x:c>
      <x:c r="F16" s="50" t="str">
        <x:v>À tester</x:v>
      </x:c>
      <x:c r="G16" s="50" t="str"/>
    </x:row>
    <x:row r="17" ht="58" customHeight="1">
      <x:c r="B17" s="21" t="str">
        <x:v>R-12</x:v>
      </x:c>
      <x:c r="C17" s="21" t="str">
        <x:v>Données</x:v>
      </x:c>
      <x:c r="D17" s="21" t="str">
        <x:v>Destruction après passation</x:v>
      </x:c>
      <x:c r="E17" s="21" t="str">
        <x:v>Les copies et sauvegardes suivent un calendrier documenté et une attestation écrite de destruction est obtenue.</x:v>
      </x:c>
      <x:c r="F17" s="50" t="str">
        <x:v>À tester</x:v>
      </x:c>
      <x:c r="G17" s="50" t="str"/>
    </x:row>
    <x:row r="18" ht="58" customHeight="1">
      <x:c r="B18" s="21" t="str">
        <x:v>R-13</x:v>
      </x:c>
      <x:c r="C18" s="21" t="str">
        <x:v>Droits</x:v>
      </x:c>
      <x:c r="D18" s="21" t="str">
        <x:v>Droits d’exploitation du code</x:v>
      </x:c>
      <x:c r="E18" s="21" t="str">
        <x:v>Les droits cédés, leur étendue, leur destination, leur durée et leur territoire sont vérifiés par écrit sans déduire la propriété d’un paiement.</x:v>
      </x:c>
      <x:c r="F18" s="50" t="str">
        <x:v>À tester</x:v>
      </x:c>
      <x:c r="G18" s="50" t="str"/>
    </x:row>
    <x:row r="19" ht="58" customHeight="1">
      <x:c r="B19" s="21" t="str">
        <x:v>R-14</x:v>
      </x:c>
      <x:c r="C19" s="21" t="str">
        <x:v>Droits</x:v>
      </x:c>
      <x:c r="D19" s="21" t="str">
        <x:v>Composants tiers et licences</x:v>
      </x:c>
      <x:c r="E19" s="21" t="str">
        <x:v>Les licences, comptes, restrictions et obligations de redistribution sont inventoriés et rattachés à un responsable.</x:v>
      </x:c>
      <x:c r="F19" s="50" t="str">
        <x:v>À tester</x:v>
      </x:c>
      <x:c r="G19" s="50" t="str"/>
    </x:row>
    <x:row r="20" ht="58" customHeight="1">
      <x:c r="B20" s="21" t="str">
        <x:v>R-15</x:v>
      </x:c>
      <x:c r="C20" s="21" t="str">
        <x:v>Support</x:v>
      </x:c>
      <x:c r="D20" s="21" t="str">
        <x:v>Incident pendant la passation</x:v>
      </x:c>
      <x:c r="E20" s="21" t="str">
        <x:v>La passation normale s’arrête ; les preuves sont préservées et le dossier bascule vers la procédure incident ou litige.</x:v>
      </x:c>
      <x:c r="F20" s="50" t="str">
        <x:v>À tester</x:v>
      </x:c>
      <x:c r="G20" s="50" t="str"/>
    </x:row>
    <x:row r="21" ht="58" customHeight="1">
      <x:c r="B21" s="21" t="str">
        <x:v>R-16</x:v>
      </x:c>
      <x:c r="C21" s="21" t="str">
        <x:v>Support</x:v>
      </x:c>
      <x:c r="D21" s="21" t="str">
        <x:v>Contact fournisseur indisponible</x:v>
      </x:c>
      <x:c r="E21" s="21" t="str">
        <x:v>Un second administrateur, les justificatifs d’entreprise, les canaux de récupération et l’escalade fournisseur ont été testés.</x:v>
      </x:c>
      <x:c r="F21" s="50" t="str">
        <x:v>À tester</x:v>
      </x:c>
      <x:c r="G21" s="50" t="str"/>
    </x:row>
    <x:row r="22" ht="58" customHeight="1">
      <x:c r="B22" s="21" t="str">
        <x:v>R-17</x:v>
      </x:c>
      <x:c r="C22" s="21" t="str">
        <x:v>Décision</x:v>
      </x:c>
      <x:c r="D22" s="21" t="str">
        <x:v>Comparaison TCO sur trente-six mois</x:v>
      </x:c>
      <x:c r="E22" s="21" t="str">
        <x:v>Stabilisation, migration et réécriture utilisent le même périmètre, le même horizon et des inconnues visibles, jamais transformées en zéro.</x:v>
      </x:c>
      <x:c r="F22" s="50" t="str">
        <x:v>À tester</x:v>
      </x:c>
      <x:c r="G22" s="50" t="str"/>
    </x:row>
    <x:row r="23" ht="58" customHeight="1">
      <x:c r="B23" s="22" t="str">
        <x:v>R-18</x:v>
      </x:c>
      <x:c r="C23" s="22" t="str">
        <x:v>Sortie</x:v>
      </x:c>
      <x:c r="D23" s="22" t="str">
        <x:v>Exercice de sortie annuel</x:v>
      </x:c>
      <x:c r="E23" s="22" t="str">
        <x:v>Le registre, les administrateurs, les contacts, les preuves, les coûts et le plan de reprise sont revus et datés sans stocker de secret.</x:v>
      </x:c>
      <x:c r="F23" s="52" t="str">
        <x:v>À tester</x:v>
      </x:c>
      <x:c r="G23" s="52" t="str"/>
    </x:row>
  </x:sheetData>
  <x:mergeCells>
    <x:mergeCell ref="A1:G2"/>
    <x:mergeCell ref="A3:G3"/>
  </x:mergeCells>
  <x:dataValidations count="1">
    <x:dataValidation type="list" sqref="F6:F23">
      <x:formula1>"À tester,PASS,Écart,STOP"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8" hidden="0" customWidth="1"/>
    <x:col min="3" max="3" width="22" hidden="0" customWidth="1"/>
    <x:col min="4" max="4" width="22" hidden="0" customWidth="1"/>
    <x:col min="5" max="5" width="34" hidden="0" customWidth="1"/>
    <x:col min="6" max="6" width="16" hidden="0" customWidth="1"/>
    <x:col min="7" max="7" width="4" hidden="0" customWidth="1"/>
  </x:cols>
  <x:sheetData>
    <x:row r="1" ht="28" customHeight="1">
      <x:c r="A1" s="4" t="str">
        <x:v>Contrôles indépendants du modèle</x:v>
      </x:c>
      <x:c r="B1" s="4"/>
      <x:c r="C1" s="4"/>
      <x:c r="D1" s="4"/>
      <x:c r="E1" s="4"/>
      <x:c r="F1" s="4"/>
      <x:c r="G1" s="4"/>
    </x:row>
    <x:row r="2" ht="28" customHeight="1">
      <x:c r="A2" s="4"/>
      <x:c r="B2" s="4"/>
      <x:c r="C2" s="4"/>
      <x:c r="D2" s="4"/>
      <x:c r="E2" s="4"/>
      <x:c r="F2" s="4"/>
      <x:c r="G2" s="4"/>
    </x:row>
    <x:row r="3" ht="34" customHeight="1">
      <x:c r="A3" s="8" t="str">
        <x:v>Ces contrôles vérifient la structure, les formules et les datasets. Ils ne prouvent pas qu’une reprise réelle a réussi.</x:v>
      </x:c>
      <x:c r="B3" s="8"/>
      <x:c r="C3" s="8"/>
      <x:c r="D3" s="8"/>
      <x:c r="E3" s="8"/>
      <x:c r="F3" s="8"/>
      <x:c r="G3" s="8"/>
    </x:row>
    <x:row r="4">
      <x:c r="B4" s="107" t="str">
        <x:f>IF(COUNTIF(F8:F31,"FAIL")=0,"MODEL STATUS: PASS","MODEL STATUS: FAIL")</x:f>
        <x:v>MODEL STATUS: PASS</x:v>
      </x:c>
      <x:c r="C4" s="107"/>
      <x:c r="D4" s="107"/>
      <x:c r="E4" s="107"/>
      <x:c r="F4" s="107"/>
    </x:row>
    <x:row r="6">
      <x:c r="B6" s="48" t="str">
        <x:v>Contrôle</x:v>
      </x:c>
      <x:c r="C6" s="48" t="str">
        <x:v>Valeur observée</x:v>
      </x:c>
      <x:c r="D6" s="48" t="str">
        <x:v>Valeur attendue</x:v>
      </x:c>
      <x:c r="E6" s="48" t="str">
        <x:v>Règle</x:v>
      </x:c>
      <x:c r="F6" s="48" t="str">
        <x:v>Statut</x:v>
      </x:c>
    </x:row>
    <x:row r="8" ht="34" customHeight="1">
      <x:c r="B8" s="21" t="str">
        <x:v>TCO stabilisation = somme des postes</x:v>
      </x:c>
      <x:c r="C8" s="21" t="n">
        <x:f>'TCO_36_MOIS'!C13</x:f>
        <x:v>141500</x:v>
      </x:c>
      <x:c r="D8" s="21" t="n">
        <x:f>SUM('TCO_36_MOIS'!C6:C12)</x:f>
        <x:v>141500</x:v>
      </x:c>
      <x:c r="E8" s="21" t="str">
        <x:v>Valeurs égales ; entrées présentes et dans leur domaine</x:v>
      </x:c>
      <x:c r="F8" s="42" t="str">
        <x:f>IF(C8=D8,"PASS","FAIL")</x:f>
        <x:v>PASS</x:v>
      </x:c>
    </x:row>
    <x:row r="9" ht="34" customHeight="1">
      <x:c r="B9" s="21" t="str">
        <x:v>TCO migration = somme des postes</x:v>
      </x:c>
      <x:c r="C9" s="21" t="n">
        <x:f>'TCO_36_MOIS'!D13</x:f>
        <x:v>186640</x:v>
      </x:c>
      <x:c r="D9" s="21" t="n">
        <x:f>SUM('TCO_36_MOIS'!D6:D12)</x:f>
        <x:v>186640</x:v>
      </x:c>
      <x:c r="E9" s="21" t="str">
        <x:v>Valeurs égales ; entrées présentes et dans leur domaine</x:v>
      </x:c>
      <x:c r="F9" s="42" t="str">
        <x:f>IF(C9=D9,"PASS","FAIL")</x:f>
        <x:v>PASS</x:v>
      </x:c>
    </x:row>
    <x:row r="10" ht="34" customHeight="1">
      <x:c r="B10" s="21" t="str">
        <x:v>TCO réécriture = somme des postes</x:v>
      </x:c>
      <x:c r="C10" s="21" t="n">
        <x:f>'TCO_36_MOIS'!E13</x:f>
        <x:v>274800</x:v>
      </x:c>
      <x:c r="D10" s="21" t="n">
        <x:f>SUM('TCO_36_MOIS'!E6:E12)</x:f>
        <x:v>274800</x:v>
      </x:c>
      <x:c r="E10" s="21" t="str">
        <x:v>Valeurs égales ; entrées présentes et dans leur domaine</x:v>
      </x:c>
      <x:c r="F10" s="42" t="str">
        <x:f>IF(C10=D10,"PASS","FAIL")</x:f>
        <x:v>PASS</x:v>
      </x:c>
    </x:row>
    <x:row r="11" ht="34" customHeight="1">
      <x:c r="B11" s="21" t="str">
        <x:v>Surcoût = réécriture - stabilisation</x:v>
      </x:c>
      <x:c r="C11" s="21" t="n">
        <x:f>'TCO_36_MOIS'!C16</x:f>
        <x:v>133300</x:v>
      </x:c>
      <x:c r="D11" s="21" t="n">
        <x:f>'TCO_36_MOIS'!E13-'TCO_36_MOIS'!C13</x:f>
        <x:v>133300</x:v>
      </x:c>
      <x:c r="E11" s="21" t="str">
        <x:v>Valeurs égales ; entrées présentes et dans leur domaine</x:v>
      </x:c>
      <x:c r="F11" s="42" t="str">
        <x:f>IF(C11=D11,"PASS","FAIL")</x:f>
        <x:v>PASS</x:v>
      </x:c>
    </x:row>
    <x:row r="12" ht="34" customHeight="1">
      <x:c r="B12" s="21" t="str">
        <x:v>Clients-mois = surcoût / contribution</x:v>
      </x:c>
      <x:c r="C12" s="21" t="n">
        <x:f>'TCO_36_MOIS'!C19</x:f>
        <x:v>166.625</x:v>
      </x:c>
      <x:c r="D12" s="21" t="n">
        <x:f>'TCO_36_MOIS'!C16/'TCO_36_MOIS'!C17</x:f>
        <x:v>166.625</x:v>
      </x:c>
      <x:c r="E12" s="21" t="str">
        <x:v>Valeurs égales ; entrées présentes et dans leur domaine</x:v>
      </x:c>
      <x:c r="F12" s="42" t="str">
        <x:f>IF(C12=D12,"PASS","FAIL")</x:f>
        <x:v>PASS</x:v>
      </x:c>
    </x:row>
    <x:row r="13" ht="34" customHeight="1">
      <x:c r="B13" s="21" t="str">
        <x:v>Clients équivalents sur la période = clients-mois / mois</x:v>
      </x:c>
      <x:c r="C13" s="21" t="n">
        <x:f>'TCO_36_MOIS'!C20</x:f>
        <x:v>6.171296296296297</x:v>
      </x:c>
      <x:c r="D13" s="21" t="n">
        <x:f>'TCO_36_MOIS'!C19/'TCO_36_MOIS'!C18</x:f>
        <x:v>6.171296296296297</x:v>
      </x:c>
      <x:c r="E13" s="21" t="str">
        <x:v>Valeurs égales ; entrées présentes et dans leur domaine</x:v>
      </x:c>
      <x:c r="F13" s="42" t="str">
        <x:f>IF(C13=D13,"PASS","FAIL")</x:f>
        <x:v>PASS</x:v>
      </x:c>
    </x:row>
    <x:row r="14" ht="34" customHeight="1">
      <x:c r="B14" s="21" t="str">
        <x:v>Clients entiers = arrondi supérieur</x:v>
      </x:c>
      <x:c r="C14" s="21" t="n">
        <x:f>'TCO_36_MOIS'!C21</x:f>
        <x:v>7</x:v>
      </x:c>
      <x:c r="D14" s="21" t="n">
        <x:f>ROUNDUP('TCO_36_MOIS'!C20,0)</x:f>
        <x:v>7</x:v>
      </x:c>
      <x:c r="E14" s="21" t="str">
        <x:v>Valeurs égales ; entrées présentes et dans leur domaine</x:v>
      </x:c>
      <x:c r="F14" s="42" t="str">
        <x:f>IF(C14=D14,"PASS","FAIL")</x:f>
        <x:v>PASS</x:v>
      </x:c>
    </x:row>
    <x:row r="15" ht="34" customHeight="1">
      <x:c r="B15" s="21" t="str">
        <x:v>RPO 24 h — maximum</x:v>
      </x:c>
      <x:c r="C15" s="21" t="n">
        <x:f>'RTO_RPO'!C22</x:f>
        <x:v>900</x:v>
      </x:c>
      <x:c r="D15" s="21" t="n">
        <x:f>'RTO_RPO'!C6*'RTO_RPO'!C7/24</x:f>
        <x:v>900</x:v>
      </x:c>
      <x:c r="E15" s="21" t="str">
        <x:v>Valeurs égales ; entrées présentes et dans leur domaine</x:v>
      </x:c>
      <x:c r="F15" s="42" t="str">
        <x:f>IF(C15=D15,"PASS","FAIL")</x:f>
        <x:v>PASS</x:v>
      </x:c>
    </x:row>
    <x:row r="16" ht="34" customHeight="1">
      <x:c r="B16" s="21" t="str">
        <x:v>RPO 24 h — moyenne</x:v>
      </x:c>
      <x:c r="C16" s="21" t="n">
        <x:f>'RTO_RPO'!C23</x:f>
        <x:v>450</x:v>
      </x:c>
      <x:c r="D16" s="21" t="n">
        <x:f>'RTO_RPO'!C22/2</x:f>
        <x:v>450</x:v>
      </x:c>
      <x:c r="E16" s="21" t="str">
        <x:v>Valeurs égales ; entrées présentes et dans leur domaine</x:v>
      </x:c>
      <x:c r="F16" s="42" t="str">
        <x:f>IF(C16=D16,"PASS","FAIL")</x:f>
        <x:v>PASS</x:v>
      </x:c>
    </x:row>
    <x:row r="17" ht="34" customHeight="1">
      <x:c r="B17" s="21" t="str">
        <x:v>RPO 24 h — coût de reconstruction</x:v>
      </x:c>
      <x:c r="C17" s="21" t="n">
        <x:f>'RTO_RPO'!C24</x:f>
        <x:v>4050</x:v>
      </x:c>
      <x:c r="D17" s="21" t="n">
        <x:f>'RTO_RPO'!C22*'RTO_RPO'!C9/60*'RTO_RPO'!C10</x:f>
        <x:v>4050</x:v>
      </x:c>
      <x:c r="E17" s="21" t="str">
        <x:v>Valeurs égales ; entrées présentes et dans leur domaine</x:v>
      </x:c>
      <x:c r="F17" s="42" t="str">
        <x:f>IF(C17=D17,"PASS","FAIL")</x:f>
        <x:v>PASS</x:v>
      </x:c>
    </x:row>
    <x:row r="18" ht="34" customHeight="1">
      <x:c r="B18" s="21" t="str">
        <x:v>RPO 4 h — maximum</x:v>
      </x:c>
      <x:c r="C18" s="21" t="n">
        <x:f>'RTO_RPO'!C26</x:f>
        <x:v>150</x:v>
      </x:c>
      <x:c r="D18" s="21" t="n">
        <x:f>'RTO_RPO'!C6*'RTO_RPO'!C8/24</x:f>
        <x:v>150</x:v>
      </x:c>
      <x:c r="E18" s="21" t="str">
        <x:v>Valeurs égales ; entrées présentes et dans leur domaine</x:v>
      </x:c>
      <x:c r="F18" s="42" t="str">
        <x:f>IF(C18=D18,"PASS","FAIL")</x:f>
        <x:v>PASS</x:v>
      </x:c>
    </x:row>
    <x:row r="19" ht="34" customHeight="1">
      <x:c r="B19" s="21" t="str">
        <x:v>RPO 4 h — moyenne</x:v>
      </x:c>
      <x:c r="C19" s="21" t="n">
        <x:f>'RTO_RPO'!C27</x:f>
        <x:v>75</x:v>
      </x:c>
      <x:c r="D19" s="21" t="n">
        <x:f>'RTO_RPO'!C26/2</x:f>
        <x:v>75</x:v>
      </x:c>
      <x:c r="E19" s="21" t="str">
        <x:v>Valeurs égales ; entrées présentes et dans leur domaine</x:v>
      </x:c>
      <x:c r="F19" s="42" t="str">
        <x:f>IF(C19=D19,"PASS","FAIL")</x:f>
        <x:v>PASS</x:v>
      </x:c>
    </x:row>
    <x:row r="20" ht="34" customHeight="1">
      <x:c r="B20" s="21" t="str">
        <x:v>RPO 4 h — coût de reconstruction</x:v>
      </x:c>
      <x:c r="C20" s="21" t="n">
        <x:f>'RTO_RPO'!C28</x:f>
        <x:v>675</x:v>
      </x:c>
      <x:c r="D20" s="21" t="n">
        <x:f>'RTO_RPO'!C26*'RTO_RPO'!C9/60*'RTO_RPO'!C10</x:f>
        <x:v>675</x:v>
      </x:c>
      <x:c r="E20" s="21" t="str">
        <x:v>Valeurs égales ; entrées présentes et dans leur domaine</x:v>
      </x:c>
      <x:c r="F20" s="42" t="str">
        <x:f>IF(C20=D20,"PASS","FAIL")</x:f>
        <x:v>PASS</x:v>
      </x:c>
    </x:row>
    <x:row r="21" ht="34" customHeight="1">
      <x:c r="B21" s="21" t="str">
        <x:v>Coût exercice = externe + interne</x:v>
      </x:c>
      <x:c r="C21" s="21" t="n">
        <x:f>'RTO_RPO'!C31</x:f>
        <x:v>680</x:v>
      </x:c>
      <x:c r="D21" s="21" t="n">
        <x:f>'RTO_RPO'!C14*'RTO_RPO'!C15+'RTO_RPO'!C16*'RTO_RPO'!C13</x:f>
        <x:v>680</x:v>
      </x:c>
      <x:c r="E21" s="21" t="str">
        <x:v>Valeurs égales ; entrées présentes et dans leur domaine</x:v>
      </x:c>
      <x:c r="F21" s="42" t="str">
        <x:f>IF(C21=D21,"PASS","FAIL")</x:f>
        <x:v>PASS</x:v>
      </x:c>
    </x:row>
    <x:row r="22" ht="34" customHeight="1">
      <x:c r="B22" s="21" t="str">
        <x:v>Exposition horaire = contribution + capacité</x:v>
      </x:c>
      <x:c r="C22" s="21" t="n">
        <x:f>'RTO_RPO'!C32</x:f>
        <x:v>141.25</x:v>
      </x:c>
      <x:c r="D22" s="21" t="n">
        <x:f>'RTO_RPO'!C11/(30*24)+'RTO_RPO'!C12*'RTO_RPO'!C13</x:f>
        <x:v>141.25</x:v>
      </x:c>
      <x:c r="E22" s="21" t="str">
        <x:v>Valeurs égales ; entrées présentes et dans leur domaine</x:v>
      </x:c>
      <x:c r="F22" s="42" t="str">
        <x:f>IF(C22=D22,"PASS","FAIL")</x:f>
        <x:v>PASS</x:v>
      </x:c>
    </x:row>
    <x:row r="23" ht="34" customHeight="1">
      <x:c r="B23" s="21" t="str">
        <x:v>Seuil inclut la probabilité annuelle</x:v>
      </x:c>
      <x:c r="C23" s="21" t="n">
        <x:f>'RTO_RPO'!C33</x:f>
        <x:v>19.256637168141594</x:v>
      </x:c>
      <x:c r="D23" s="21" t="n">
        <x:f>'RTO_RPO'!C31/(('RTO_RPO'!C17/100)*'RTO_RPO'!C32)</x:f>
        <x:v>19.256637168141594</x:v>
      </x:c>
      <x:c r="E23" s="21" t="str">
        <x:v>Valeurs égales ; entrées présentes et dans leur domaine</x:v>
      </x:c>
      <x:c r="F23" s="42" t="str">
        <x:f>IF(C23=D23,"PASS","FAIL")</x:f>
        <x:v>PASS</x:v>
      </x:c>
    </x:row>
    <x:row r="24" ht="34" customHeight="1">
      <x:c r="B24" s="21" t="str">
        <x:v>Arrêt court = heures × exposition</x:v>
      </x:c>
      <x:c r="C24" s="21" t="n">
        <x:f>'RTO_RPO'!C35</x:f>
        <x:v>1130</x:v>
      </x:c>
      <x:c r="D24" s="21" t="n">
        <x:f>'RTO_RPO'!C18*'RTO_RPO'!C32</x:f>
        <x:v>1130</x:v>
      </x:c>
      <x:c r="E24" s="21" t="str">
        <x:v>Valeurs égales ; entrées présentes et dans leur domaine</x:v>
      </x:c>
      <x:c r="F24" s="42" t="str">
        <x:f>IF(C24=D24,"PASS","FAIL")</x:f>
        <x:v>PASS</x:v>
      </x:c>
    </x:row>
    <x:row r="25" ht="34" customHeight="1">
      <x:c r="B25" s="21" t="str">
        <x:v>Arrêt long = heures × exposition</x:v>
      </x:c>
      <x:c r="C25" s="21" t="n">
        <x:f>'RTO_RPO'!C36</x:f>
        <x:v>5085</x:v>
      </x:c>
      <x:c r="D25" s="21" t="n">
        <x:f>'RTO_RPO'!C19*'RTO_RPO'!C32</x:f>
        <x:v>5085</x:v>
      </x:c>
      <x:c r="E25" s="21" t="str">
        <x:v>Valeurs égales ; entrées présentes et dans leur domaine</x:v>
      </x:c>
      <x:c r="F25" s="42" t="str">
        <x:f>IF(C25=D25,"PASS","FAIL")</x:f>
        <x:v>PASS</x:v>
      </x:c>
    </x:row>
    <x:row r="26" ht="34" customHeight="1">
      <x:c r="B26" s="21" t="str">
        <x:v>Passation préparée = formule détaillée</x:v>
      </x:c>
      <x:c r="C26" s="21" t="n">
        <x:f>'RTO_RPO'!C48</x:f>
        <x:v>1280</x:v>
      </x:c>
      <x:c r="D26" s="21" t="n">
        <x:f>(('RTO_RPO'!C40*'RTO_RPO'!C42)+('RTO_RPO'!C43*'RTO_RPO'!C45))*'RTO_RPO'!C39+'RTO_RPO'!C46</x:f>
        <x:v>1280</x:v>
      </x:c>
      <x:c r="E26" s="21" t="str">
        <x:v>Valeurs égales ; entrées présentes et dans leur domaine</x:v>
      </x:c>
      <x:c r="F26" s="42" t="str">
        <x:f>IF(C26=D26,"PASS","FAIL")</x:f>
        <x:v>PASS</x:v>
      </x:c>
    </x:row>
    <x:row r="27" ht="34" customHeight="1">
      <x:c r="B27" s="21" t="str">
        <x:v>Crise = formule détaillée</x:v>
      </x:c>
      <x:c r="C27" s="21" t="n">
        <x:f>'RTO_RPO'!C49</x:f>
        <x:v>2720</x:v>
      </x:c>
      <x:c r="D27" s="21" t="n">
        <x:f>(('RTO_RPO'!C41*'RTO_RPO'!C42)+('RTO_RPO'!C44*'RTO_RPO'!C45))*'RTO_RPO'!C39</x:f>
        <x:v>2720</x:v>
      </x:c>
      <x:c r="E27" s="21" t="str">
        <x:v>Valeurs égales ; entrées présentes et dans leur domaine</x:v>
      </x:c>
      <x:c r="F27" s="42" t="str">
        <x:f>IF(C27=D27,"PASS","FAIL")</x:f>
        <x:v>PASS</x:v>
      </x:c>
    </x:row>
    <x:row r="28" ht="34" customHeight="1">
      <x:c r="B28" s="21" t="str">
        <x:v>Écart comptes = crise - préparation</x:v>
      </x:c>
      <x:c r="C28" s="21" t="n">
        <x:f>'RTO_RPO'!C50</x:f>
        <x:v>1440</x:v>
      </x:c>
      <x:c r="D28" s="21" t="n">
        <x:f>'RTO_RPO'!C49-'RTO_RPO'!C48</x:f>
        <x:v>1440</x:v>
      </x:c>
      <x:c r="E28" s="21" t="str">
        <x:v>Valeurs égales ; entrées présentes et dans leur domaine</x:v>
      </x:c>
      <x:c r="F28" s="42" t="str">
        <x:f>IF(C28=D28,"PASS","FAIL")</x:f>
        <x:v>PASS</x:v>
      </x:c>
    </x:row>
    <x:row r="29" ht="34" customHeight="1">
      <x:c r="B29" s="21" t="str">
        <x:v>Dataset fonctions = 10 lignes</x:v>
      </x:c>
      <x:c r="C29" s="21" t="n">
        <x:f>COUNTA('REGISTRE'!B6:B15)</x:f>
        <x:v>10</x:v>
      </x:c>
      <x:c r="D29" s="21" t="n">
        <x:f>10</x:f>
        <x:v>10</x:v>
      </x:c>
      <x:c r="E29" s="21" t="str">
        <x:v>Valeurs égales ; entrées présentes et dans leur domaine</x:v>
      </x:c>
      <x:c r="F29" s="42" t="str">
        <x:f>IF(C29=D29,"PASS","FAIL")</x:f>
        <x:v>PASS</x:v>
      </x:c>
    </x:row>
    <x:row r="30" ht="34" customHeight="1">
      <x:c r="B30" s="21" t="str">
        <x:v>Matrice de tests = 18 lignes</x:v>
      </x:c>
      <x:c r="C30" s="21" t="n">
        <x:f>COUNTA('TESTS'!B6:B23)</x:f>
        <x:v>18</x:v>
      </x:c>
      <x:c r="D30" s="21" t="n">
        <x:f>18</x:f>
        <x:v>18</x:v>
      </x:c>
      <x:c r="E30" s="21" t="str">
        <x:v>Valeurs égales ; entrées présentes et dans leur domaine</x:v>
      </x:c>
      <x:c r="F30" s="42" t="str">
        <x:f>IF(C30=D30,"PASS","FAIL")</x:f>
        <x:v>PASS</x:v>
      </x:c>
    </x:row>
    <x:row r="31" ht="34" customHeight="1">
      <x:c r="B31" s="22" t="str">
        <x:v>Registre de sources = 18 lignes</x:v>
      </x:c>
      <x:c r="C31" s="22" t="n">
        <x:f>COUNTA('SOURCES'!B6:B23)</x:f>
        <x:v>18</x:v>
      </x:c>
      <x:c r="D31" s="22" t="n">
        <x:f>18</x:f>
        <x:v>18</x:v>
      </x:c>
      <x:c r="E31" s="22" t="str">
        <x:v>Valeurs égales ; entrées présentes et dans leur domaine</x:v>
      </x:c>
      <x:c r="F31" s="43" t="str">
        <x:f>IF(C31=D31,"PASS","FAIL")</x:f>
        <x:v>PASS</x:v>
      </x:c>
    </x:row>
  </x:sheetData>
  <x:mergeCells>
    <x:mergeCell ref="A1:G2"/>
    <x:mergeCell ref="A3:G3"/>
    <x:mergeCell ref="B4:F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24" hidden="0" customWidth="1"/>
    <x:col min="3" max="3" width="28" hidden="0" customWidth="1"/>
    <x:col min="4" max="4" width="62" hidden="0" customWidth="1"/>
    <x:col min="5" max="5" width="42" hidden="0" customWidth="1"/>
    <x:col min="6" max="6" width="38" hidden="0" customWidth="1"/>
    <x:col min="7" max="7" width="30" hidden="0" customWidth="1"/>
    <x:col min="8" max="8" width="15" hidden="0" customWidth="1"/>
  </x:cols>
  <x:sheetData>
    <x:row r="1" ht="28" customHeight="1">
      <x:c r="A1" s="4" t="str">
        <x:v>Registre des sources officielles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8" t="str">
        <x:v>Sources revérifiées le 28 juillet 2026. Rouvrez la page primaire avant toute décision, car les procédures fournisseurs et les textes peuvent évoluer.</x:v>
      </x:c>
      <x:c r="B3" s="8"/>
      <x:c r="C3" s="8"/>
      <x:c r="D3" s="8"/>
      <x:c r="E3" s="8"/>
      <x:c r="F3" s="8"/>
      <x:c r="G3" s="8"/>
      <x:c r="H3" s="8"/>
    </x:row>
    <x:row r="5">
      <x:c r="B5" s="48" t="str">
        <x:v>Sujet</x:v>
      </x:c>
      <x:c r="C5" s="48" t="str">
        <x:v>Source</x:v>
      </x:c>
      <x:c r="D5" s="48" t="str">
        <x:v>URL</x:v>
      </x:c>
      <x:c r="E5" s="48" t="str">
        <x:v>Usage dans le dossier</x:v>
      </x:c>
      <x:c r="F5" s="48" t="str">
        <x:v>Limite</x:v>
      </x:c>
      <x:c r="G5" s="48" t="str">
        <x:v>Contrôle à rejouer</x:v>
      </x:c>
      <x:c r="H5" s="48" t="str">
        <x:v>Revue</x:v>
      </x:c>
    </x:row>
    <x:row r="6" ht="72" customHeight="1">
      <x:c r="B6" s="21" t="str">
        <x:v>Transfert de dépôt</x:v>
      </x:c>
      <x:c r="C6" s="21" t="str">
        <x:v>GitHub Docs</x:v>
      </x:c>
      <x:c r="D6" s="109" t="str">
        <x:v>https://docs.github.com/en/repositories/creating-and-managing-repositories/transferring-a-repository</x:v>
      </x:c>
      <x:c r="E6" s="21" t="str">
        <x:v>Contrôler collaborateur restant, webhooks, services, secrets et clés après transfert</x:v>
      </x:c>
      <x:c r="F6" s="21" t="str">
        <x:v>La documentation décrit GitHub, pas les autres forges</x:v>
      </x:c>
      <x:c r="G6" s="21" t="str">
        <x:v>Rejouer R-01 et R-04</x:v>
      </x:c>
      <x:c r="H6" s="21" t="str">
        <x:v>2026-07-28</x:v>
      </x:c>
    </x:row>
    <x:row r="7" ht="72" customHeight="1">
      <x:c r="B7" s="21" t="str">
        <x:v>Transfert de projet</x:v>
      </x:c>
      <x:c r="C7" s="21" t="str">
        <x:v>Vercel Docs</x:v>
      </x:c>
      <x:c r="D7" s="109" t="str">
        <x:v>https://vercel.com/docs/projects/transferring-projects</x:v>
      </x:c>
      <x:c r="E7" s="21" t="str">
        <x:v>Identifier les intégrations, logs, drains et stockages non transférés automatiquement</x:v>
      </x:c>
      <x:c r="F7" s="21" t="str">
        <x:v>La liste dépend des produits effectivement utilisés</x:v>
      </x:c>
      <x:c r="G7" s="21" t="str">
        <x:v>Inventorier puis rejouer R-05</x:v>
      </x:c>
      <x:c r="H7" s="21" t="str">
        <x:v>2026-07-28</x:v>
      </x:c>
    </x:row>
    <x:row r="8" ht="72" customHeight="1">
      <x:c r="B8" s="21" t="str">
        <x:v>Migration d’abonnements</x:v>
      </x:c>
      <x:c r="C8" s="21" t="str">
        <x:v>Stripe Docs</x:v>
      </x:c>
      <x:c r="D8" s="109" t="str">
        <x:v>https://docs.stripe.com/billing/subscriptions/import-subscriptions-toolkit</x:v>
      </x:c>
      <x:c r="E8" s="21" t="str">
        <x:v>Tester le séquencement ancien/nouveau et empêcher le double débit</x:v>
      </x:c>
      <x:c r="F8" s="21" t="str">
        <x:v>Outil et éligibilité peuvent évoluer</x:v>
      </x:c>
      <x:c r="G8" s="21" t="str">
        <x:v>Tester R-09 et R-10 en environnement de test</x:v>
      </x:c>
      <x:c r="H8" s="21" t="str">
        <x:v>2026-07-28</x:v>
      </x:c>
    </x:row>
    <x:row r="9" ht="72" customHeight="1">
      <x:c r="B9" s="21" t="str">
        <x:v>Habilitations</x:v>
      </x:c>
      <x:c r="C9" s="21" t="str">
        <x:v>CNIL</x:v>
      </x:c>
      <x:c r="D9" s="109" t="str">
        <x:v>https://www.cnil.fr/fr/securite-gerer-les-habilitations</x:v>
      </x:c>
      <x:c r="E9" s="21" t="str">
        <x:v>Retirer les droits quand une personne n’est plus autorisée, notamment à la fin du contrat</x:v>
      </x:c>
      <x:c r="F9" s="21" t="str">
        <x:v>Une prolongation exceptionnelle doit rester justifiée et bornée</x:v>
      </x:c>
      <x:c r="G9" s="21" t="str">
        <x:v>Tracer R-02</x:v>
      </x:c>
      <x:c r="H9" s="21" t="str">
        <x:v>2026-07-28</x:v>
      </x:c>
    </x:row>
    <x:row r="10" ht="72" customHeight="1">
      <x:c r="B10" s="21" t="str">
        <x:v>Sous-traitance et sortie</x:v>
      </x:c>
      <x:c r="C10" s="21" t="str">
        <x:v>CNIL</x:v>
      </x:c>
      <x:c r="D10" s="109" t="str">
        <x:v>https://www.cnil.fr/fr/sous-traitance-exemple-de-clauses</x:v>
      </x:c>
      <x:c r="E10" s="21" t="str">
        <x:v>Écrire restitution ou destruction, sort des copies et assistance</x:v>
      </x:c>
      <x:c r="F10" s="21" t="str">
        <x:v>Le contrat concret doit être revu par le conseil compétent</x:v>
      </x:c>
      <x:c r="G10" s="21" t="str">
        <x:v>Tracer R-11 et R-12</x:v>
      </x:c>
      <x:c r="H10" s="21" t="str">
        <x:v>2026-07-28</x:v>
      </x:c>
    </x:row>
    <x:row r="11" ht="72" customHeight="1">
      <x:c r="B11" s="21" t="str">
        <x:v>Sécurité 2026</x:v>
      </x:c>
      <x:c r="C11" s="21" t="str">
        <x:v>CNIL</x:v>
      </x:c>
      <x:c r="D11" s="109" t="str">
        <x:v>https://www.cnil.fr/sites/default/files/2026-05/cnil_guide_securite_personnelle.pdf</x:v>
      </x:c>
      <x:c r="E11" s="21" t="str">
        <x:v>Sauvegardes, habilitations, traçabilité et sécurité des opérations</x:v>
      </x:c>
      <x:c r="F11" s="21" t="str">
        <x:v>Mesures à adapter au risque et aux données</x:v>
      </x:c>
      <x:c r="G11" s="21" t="str">
        <x:v>Faire accepter les écarts</x:v>
      </x:c>
      <x:c r="H11" s="21" t="str">
        <x:v>2026-07-28</x:v>
      </x:c>
    </x:row>
    <x:row r="12" ht="72" customHeight="1">
      <x:c r="B12" s="21" t="str">
        <x:v>RTO</x:v>
      </x:c>
      <x:c r="C12" s="21" t="str">
        <x:v>NIST CSRC</x:v>
      </x:c>
      <x:c r="D12" s="109" t="str">
        <x:v>https://csrc.nist.gov/glossary/term/recovery_time_objective</x:v>
      </x:c>
      <x:c r="E12" s="21" t="str">
        <x:v>Définir la durée maximale visée avant reprise d’un parcours</x:v>
      </x:c>
      <x:c r="F12" s="21" t="str">
        <x:v>Un objectif n’est pas une preuve de capacité</x:v>
      </x:c>
      <x:c r="G12" s="21" t="str">
        <x:v>Tester et dater R-07</x:v>
      </x:c>
      <x:c r="H12" s="21" t="str">
        <x:v>2026-07-28</x:v>
      </x:c>
    </x:row>
    <x:row r="13" ht="72" customHeight="1">
      <x:c r="B13" s="21" t="str">
        <x:v>RPO</x:v>
      </x:c>
      <x:c r="C13" s="21" t="str">
        <x:v>NIST CSRC</x:v>
      </x:c>
      <x:c r="D13" s="109" t="str">
        <x:v>https://csrc.nist.gov/glossary/term/recovery_point_objective</x:v>
      </x:c>
      <x:c r="E13" s="21" t="str">
        <x:v>Définir la perte maximale de données acceptable</x:v>
      </x:c>
      <x:c r="F13" s="21" t="str">
        <x:v>Une fréquence de sauvegarde ne prouve pas le point restaurable</x:v>
      </x:c>
      <x:c r="G13" s="21" t="str">
        <x:v>Tester et dater R-08</x:v>
      </x:c>
      <x:c r="H13" s="21" t="str">
        <x:v>2026-07-28</x:v>
      </x:c>
    </x:row>
    <x:row r="14" ht="72" customHeight="1">
      <x:c r="B14" s="21" t="str">
        <x:v>Plan de continuité</x:v>
      </x:c>
      <x:c r="C14" s="21" t="str">
        <x:v>NIST SP 800-34 Rev. 1</x:v>
      </x:c>
      <x:c r="D14" s="109" t="str">
        <x:v>https://nvlpubs.nist.gov/nistpubs/legacy/sp/nistspecialpublication800-34r1.pdf</x:v>
      </x:c>
      <x:c r="E14" s="21" t="str">
        <x:v>Relier analyse d’impact, stratégie, plan, test et maintenance</x:v>
      </x:c>
      <x:c r="F14" s="21" t="str">
        <x:v>Cadre américain à adapter au contexte contractuel</x:v>
      </x:c>
      <x:c r="G14" s="21" t="str">
        <x:v>Conserver preuve et résultats</x:v>
      </x:c>
      <x:c r="H14" s="21" t="str">
        <x:v>2026-07-28</x:v>
      </x:c>
    </x:row>
    <x:row r="15" ht="72" customHeight="1">
      <x:c r="B15" s="21" t="str">
        <x:v>Résilience par parcours</x:v>
      </x:c>
      <x:c r="C15" s="21" t="str">
        <x:v>AWS Prescriptive Guidance</x:v>
      </x:c>
      <x:c r="D15" s="109" t="str">
        <x:v>https://docs.aws.amazon.com/prescriptive-guidance/latest/startup-resiliency-baseline/stage-1.html</x:v>
      </x:c>
      <x:c r="E15" s="21" t="str">
        <x:v>Choisir RTO et RPO selon l’impact métier du parcours</x:v>
      </x:c>
      <x:c r="F15" s="21" t="str">
        <x:v>Conseil fournisseur, pas une obligation juridique</x:v>
      </x:c>
      <x:c r="G15" s="21" t="str">
        <x:v>Faire décider le métier</x:v>
      </x:c>
      <x:c r="H15" s="21" t="str">
        <x:v>2026-07-28</x:v>
      </x:c>
    </x:row>
    <x:row r="16" ht="72" customHeight="1">
      <x:c r="B16" s="21" t="str">
        <x:v>Coût des objectifs</x:v>
      </x:c>
      <x:c r="C16" s="21" t="str">
        <x:v>Google Cloud Architecture Center</x:v>
      </x:c>
      <x:c r="D16" s="109" t="str">
        <x:v>https://cloud.google.com/architecture/dr-scenarios-planning-guide</x:v>
      </x:c>
      <x:c r="E16" s="21" t="str">
        <x:v>Des objectifs plus courts demandent généralement davantage de moyens</x:v>
      </x:c>
      <x:c r="F16" s="21" t="str">
        <x:v>Comparer architecture et coût réel du service</x:v>
      </x:c>
      <x:c r="G16" s="21" t="str">
        <x:v>Documenter l’arbitrage</x:v>
      </x:c>
      <x:c r="H16" s="21" t="str">
        <x:v>2026-07-28</x:v>
      </x:c>
    </x:row>
    <x:row r="17" ht="72" customHeight="1">
      <x:c r="B17" s="21" t="str">
        <x:v>Plan de sortie</x:v>
      </x:c>
      <x:c r="C17" s="21" t="str">
        <x:v>UK Government Digital, Data and Technology Playbook</x:v>
      </x:c>
      <x:c r="D17" s="109" t="str">
        <x:v>https://www.gov.uk/government/publications/the-digital-data-and-technology-playbook/the-digital-data-and-technology-playbook</x:v>
      </x:c>
      <x:c r="E17" s="21" t="str">
        <x:v>Maintenir rôles, jalons, actifs, données, risques et transfert de connaissances</x:v>
      </x:c>
      <x:c r="F17" s="21" t="str">
        <x:v>Guide d’achat public britannique à adapter</x:v>
      </x:c>
      <x:c r="G17" s="21" t="str">
        <x:v>Rejouer R-18</x:v>
      </x:c>
      <x:c r="H17" s="21" t="str">
        <x:v>2026-07-28</x:v>
      </x:c>
    </x:row>
    <x:row r="18" ht="72" customHeight="1">
      <x:c r="B18" s="21" t="str">
        <x:v>Contrat et sortie</x:v>
      </x:c>
      <x:c r="C18" s="21" t="str">
        <x:v>UK Government Model Services Contract</x:v>
      </x:c>
      <x:c r="D18" s="109" t="str">
        <x:v>https://www.gov.uk/government/collections/model-services-contract</x:v>
      </x:c>
      <x:c r="E18" s="21" t="str">
        <x:v>Prévoir assistance, responsabilités et scénario de rupture</x:v>
      </x:c>
      <x:c r="F18" s="21" t="str">
        <x:v>Ne remplace pas un contrat français sur mesure</x:v>
      </x:c>
      <x:c r="G18" s="21" t="str">
        <x:v>Faire relire le plan</x:v>
      </x:c>
      <x:c r="H18" s="21" t="str">
        <x:v>2026-07-28</x:v>
      </x:c>
    </x:row>
    <x:row r="19" ht="72" customHeight="1">
      <x:c r="B19" s="21" t="str">
        <x:v>Accès prestataires</x:v>
      </x:c>
      <x:c r="C19" s="21" t="str">
        <x:v>Australian Signals Directorate</x:v>
      </x:c>
      <x:c r="D19" s="109" t="str">
        <x:v>https://www.cyber.gov.au/about-us/advisories/protecting-against-cyber-threats-managed-service-providers-and-their-customers</x:v>
      </x:c>
      <x:c r="E19" s="21" t="str">
        <x:v>MFA, moindre privilège et suppression des comptes obsolètes</x:v>
      </x:c>
      <x:c r="F19" s="21" t="str">
        <x:v>Conseil de cybersécurité australien à contextualiser</x:v>
      </x:c>
      <x:c r="G19" s="21" t="str">
        <x:v>Contrôler R-02 et R-16</x:v>
      </x:c>
      <x:c r="H19" s="21" t="str">
        <x:v>2026-07-28</x:v>
      </x:c>
    </x:row>
    <x:row r="20" ht="72" customHeight="1">
      <x:c r="B20" s="21" t="str">
        <x:v>Inventaire de transfert</x:v>
      </x:c>
      <x:c r="C20" s="21" t="str">
        <x:v>Digital Agency Japan</x:v>
      </x:c>
      <x:c r="D20" s="109" t="str">
        <x:v>https://www.digital.go.jp/assets/contents/node/basic_page/field_ref_resources/4abc3a06-5590-4ff1-a542-7f29198b2a81/8f314c0a/20260106_procurement_system_agreement_03.pdf</x:v>
      </x:c>
      <x:c r="E20" s="21" t="str">
        <x:v>Inclure code, configuration, outils, comptes, incidents et rapport de passation</x:v>
      </x:c>
      <x:c r="F20" s="21" t="str">
        <x:v>Exigence japonaise utilisée comme benchmark documentaire</x:v>
      </x:c>
      <x:c r="G20" s="21" t="str">
        <x:v>Adapter le registre aux services réels</x:v>
      </x:c>
      <x:c r="H20" s="21" t="str">
        <x:v>2026-07-28</x:v>
      </x:c>
    </x:row>
    <x:row r="21" ht="72" customHeight="1">
      <x:c r="B21" s="21" t="str">
        <x:v>Droits initiaux</x:v>
      </x:c>
      <x:c r="C21" s="21" t="str">
        <x:v>Légifrance — Code de la propriété intellectuelle L111-1</x:v>
      </x:c>
      <x:c r="D21" s="109" t="str">
        <x:v>https://www.legifrance.gouv.fr/codes/article_lc/LEGIARTI000006278868</x:v>
      </x:c>
      <x:c r="E21" s="21" t="str">
        <x:v>Ne pas déduire une cession de droits de la seule commande ou du seul paiement</x:v>
      </x:c>
      <x:c r="F21" s="21" t="str">
        <x:v>Qualification et contrat concrets à faire relire</x:v>
      </x:c>
      <x:c r="G21" s="21" t="str">
        <x:v>Contrôler R-13</x:v>
      </x:c>
      <x:c r="H21" s="21" t="str">
        <x:v>2026-07-28</x:v>
      </x:c>
    </x:row>
    <x:row r="22" ht="72" customHeight="1">
      <x:c r="B22" s="21" t="str">
        <x:v>Logiciel salarié</x:v>
      </x:c>
      <x:c r="C22" s="21" t="str">
        <x:v>Légifrance — Code de la propriété intellectuelle L113-9</x:v>
      </x:c>
      <x:c r="D22" s="109" t="str">
        <x:v>https://www.legifrance.gouv.fr/codes/article_lc/LEGIARTI000039279818</x:v>
      </x:c>
      <x:c r="E22" s="21" t="str">
        <x:v>Distinguer l’exception du logiciel créé par un salarié du cas freelance</x:v>
      </x:c>
      <x:c r="F22" s="21" t="str">
        <x:v>Le statut et les missions réelles doivent être qualifiés</x:v>
      </x:c>
      <x:c r="G22" s="21" t="str">
        <x:v>Faire relire la qualification</x:v>
      </x:c>
      <x:c r="H22" s="21" t="str">
        <x:v>2026-07-28</x:v>
      </x:c>
    </x:row>
    <x:row r="23" ht="72" customHeight="1">
      <x:c r="B23" s="22" t="str">
        <x:v>Étendue de la cession</x:v>
      </x:c>
      <x:c r="C23" s="22" t="str">
        <x:v>Légifrance — Code de la propriété intellectuelle L131-3</x:v>
      </x:c>
      <x:c r="D23" s="110" t="str">
        <x:v>https://www.legifrance.gouv.fr/codes/article_lc/LEGIARTI000006278958</x:v>
      </x:c>
      <x:c r="E23" s="22" t="str">
        <x:v>Vérifier droits, étendue, destination, territoire et durée</x:v>
      </x:c>
      <x:c r="F23" s="22" t="str">
        <x:v>Le texte du contrat reste déterminant</x:v>
      </x:c>
      <x:c r="G23" s="22" t="str">
        <x:v>Contrôler R-13 et R-14</x:v>
      </x:c>
      <x:c r="H23" s="22" t="str">
        <x:v>2026-07-28</x:v>
      </x:c>
    </x:row>
  </x:sheetData>
  <x:mergeCells>
    <x:mergeCell ref="A1:H2"/>
    <x:mergeCell ref="A3:H3"/>
  </x:mergeCells>
  <x:pageMargins left="0.7" right="0.7" top="0.75" bottom="0.75" header="0.3" footer="0.3"/>
</x:worksheet>
</file>