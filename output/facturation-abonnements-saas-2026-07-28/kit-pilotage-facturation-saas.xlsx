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ca41a4ab32db4277" /></Relationships>
</file>

<file path=xl/workbook.xml><?xml version="1.0" encoding="utf-8"?>
<x:workbook xmlns:x="http://schemas.openxmlformats.org/spreadsheetml/2006/main">
  <x:sheets>
    <x:sheet xmlns:r="http://schemas.openxmlformats.org/officeDocument/2006/relationships" name="LIRE_D_ABORD" sheetId="1" r:id="R72194dc71a964c96"/>
    <x:sheet xmlns:r="http://schemas.openxmlformats.org/officeDocument/2006/relationships" name="REGLES" sheetId="2" r:id="R67c1a0a9343f4f5f"/>
    <x:sheet xmlns:r="http://schemas.openxmlformats.org/officeDocument/2006/relationships" name="TCO_24_MOIS" sheetId="3" r:id="R0d73d87b57f04542"/>
    <x:sheet xmlns:r="http://schemas.openxmlformats.org/officeDocument/2006/relationships" name="MRR" sheetId="4" r:id="Ra8bb9e1c5ac1456e"/>
    <x:sheet xmlns:r="http://schemas.openxmlformats.org/officeDocument/2006/relationships" name="RAPPROCHEMENT" sheetId="5" r:id="Rbd99c1dbcce740c8"/>
    <x:sheet xmlns:r="http://schemas.openxmlformats.org/officeDocument/2006/relationships" name="RELANCES" sheetId="6" r:id="R5d1602bfb3914880"/>
    <x:sheet xmlns:r="http://schemas.openxmlformats.org/officeDocument/2006/relationships" name="TESTS" sheetId="7" r:id="R572f6d177d114b57"/>
    <x:sheet xmlns:r="http://schemas.openxmlformats.org/officeDocument/2006/relationships" name="EXEMPLE_PLANOR" sheetId="8" r:id="R75ab185efcd240cb"/>
    <x:sheet xmlns:r="http://schemas.openxmlformats.org/officeDocument/2006/relationships" name="CONTROLES" sheetId="9" r:id="Rbf6eae94ddec4cf5"/>
    <x:sheet xmlns:r="http://schemas.openxmlformats.org/officeDocument/2006/relationships" name="SOURCES" sheetId="10" r:id="Rc71d6dba82be4373"/>
  </x:sheets>
</x:workbook>
</file>

<file path=xl/sharedStrings.xml><?xml version="1.0" encoding="utf-8"?>
<x:sst xmlns:x="http://schemas.openxmlformats.org/spreadsheetml/2006/main"/>
</file>

<file path=xl/styles.xml><?xml version="1.0" encoding="utf-8"?>
<x:styleSheet xmlns:x="http://schemas.openxmlformats.org/spreadsheetml/2006/main">
  <x:numFmts count="6">
    <x:numFmt numFmtId="200" formatCode="#,##0"/>
    <x:numFmt numFmtId="201" formatCode="0.0%"/>
    <x:numFmt numFmtId="202" formatCode="#,##0 &quot;€&quot;;[Red](#,##0 &quot;€&quot;);-"/>
    <x:numFmt numFmtId="203" formatCode="0.0"/>
    <x:numFmt numFmtId="204" formatCode="#,##0.0000"/>
    <x:numFmt numFmtId="205" formatCode="@"/>
  </x:numFmts>
  <x:fonts count="15">
    <x:font>
      <x:sz val="11"/>
      <x:name val="Carlito"/>
    </x:font>
    <x:font>
      <x:b/>
      <x:sz val="20"/>
      <x:color rgb="FFFFFFFF"/>
      <x:name val="Aptos Display"/>
    </x:font>
    <x:font>
      <x:i/>
      <x:sz val="10"/>
      <x:color rgb="FF5F6068"/>
      <x:name val="Carlito"/>
    </x:font>
    <x:font>
      <x:b/>
      <x:sz val="11"/>
      <x:color rgb="FF18181B"/>
      <x:name val="Carlito"/>
    </x:font>
    <x:font>
      <x:b/>
      <x:sz val="11"/>
      <x:name val="Carlito"/>
    </x:font>
    <x:font>
      <x:b/>
      <x:sz val="9"/>
      <x:color rgb="FFFFFFFF"/>
      <x:name val="Carlito"/>
    </x:font>
    <x:font>
      <x:b/>
      <x:sz val="11"/>
      <x:color rgb="FF1E3A8A"/>
      <x:name val="Carlito"/>
    </x:font>
    <x:font>
      <x:i/>
      <x:sz val="9"/>
      <x:color rgb="FF5F6068"/>
      <x:name val="Carlito"/>
    </x:font>
    <x:font>
      <x:i/>
      <x:sz val="11"/>
      <x:color rgb="FF5F6068"/>
      <x:name val="Carlito"/>
    </x:font>
    <x:font>
      <x:b/>
      <x:sz val="12"/>
      <x:name val="Carlito"/>
    </x:font>
    <x:font>
      <x:b/>
      <x:sz val="11"/>
      <x:color rgb="FFBE123C"/>
      <x:name val="Carlito"/>
    </x:font>
    <x:font>
      <x:b/>
      <x:sz val="12"/>
      <x:color rgb="FF047857"/>
      <x:name val="Carlito"/>
    </x:font>
    <x:font>
      <x:b/>
      <x:sz val="11"/>
      <x:color rgb="FF6D28D9"/>
      <x:name val="Carlito"/>
    </x:font>
    <x:font>
      <x:b/>
      <x:sz val="11"/>
      <x:color rgb="FF047857"/>
      <x:name val="Carlito"/>
    </x:font>
    <x:font>
      <x:sz val="11"/>
      <x:color rgb="FF2563EB"/>
      <x:name val="Carlito"/>
    </x:font>
  </x:fonts>
  <x:fills count="12">
    <x:fill>
      <x:patternFill patternType="none"/>
    </x:fill>
    <x:fill>
      <x:patternFill patternType="gray125"/>
    </x:fill>
    <x:fill>
      <x:patternFill patternType="solid">
        <x:fgColor rgb="FF18181B"/>
      </x:patternFill>
    </x:fill>
    <x:fill>
      <x:patternFill patternType="solid">
        <x:fgColor rgb="FFFBFAF7"/>
      </x:patternFill>
    </x:fill>
    <x:fill>
      <x:patternFill patternType="solid">
        <x:fgColor rgb="FFF3E8FF"/>
      </x:patternFill>
    </x:fill>
    <x:fill>
      <x:patternFill patternType="solid">
        <x:fgColor rgb="FFDBEAFE"/>
      </x:patternFill>
    </x:fill>
    <x:fill>
      <x:patternFill patternType="solid">
        <x:fgColor rgb="FFD1FAE5"/>
      </x:patternFill>
    </x:fill>
    <x:fill>
      <x:patternFill patternType="solid">
        <x:fgColor rgb="FFFEF3C7"/>
      </x:patternFill>
    </x:fill>
    <x:fill>
      <x:patternFill patternType="solid">
        <x:fgColor rgb="FFFFE4E6"/>
      </x:patternFill>
    </x:fill>
    <x:fill>
      <x:patternFill patternType="solid">
        <x:fgColor rgb="FF2563EB"/>
      </x:patternFill>
    </x:fill>
    <x:fill>
      <x:patternFill patternType="solid">
        <x:fgColor rgb="FF047857"/>
      </x:patternFill>
    </x:fill>
    <x:fill>
      <x:patternFill patternType="solid">
        <x:fgColor rgb="FFB45309"/>
      </x:patternFill>
    </x:fill>
  </x:fills>
  <x:borders count="8">
    <x:border/>
    <x:border>
      <x:bottom style="medium">
        <x:color rgb="FF6D28D9"/>
      </x:bottom>
    </x:border>
    <x:border>
      <x:bottom style="thin">
        <x:color rgb="FFE4E4E7"/>
      </x:bottom>
    </x:border>
    <x:border>
      <x:bottom style="medium">
        <x:color rgb="FF18181B"/>
      </x:bottom>
    </x:border>
    <x:border>
      <x:bottom style="medium">
        <x:color rgb="FF2563EB"/>
      </x:bottom>
    </x:border>
    <x:border>
      <x:bottom style="thin">
        <x:color rgb="FF93C5FD"/>
      </x:bottom>
    </x:border>
    <x:border>
      <x:bottom style="medium">
        <x:color rgb="FF047857"/>
      </x:bottom>
    </x:border>
    <x:border>
      <x:bottom style="medium">
        <x:color rgb="FFB45309"/>
      </x:bottom>
    </x:border>
  </x:borders>
  <x:cellStyleXfs count="1">
    <x:xf numFmtId="0" fontId="0" fillId="0" borderId="0"/>
  </x:cellStyleXfs>
  <x:cellXfs count="160">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4" borderId="0" xfId="0" applyNumberFormat="1" applyFont="1" applyFill="1" applyBorder="1"/>
    <x:xf numFmtId="0" fontId="3" fillId="4" borderId="0"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horizontal="left"/>
    </x:xf>
    <x:xf numFmtId="0" fontId="3" fillId="4" borderId="1" xfId="0" applyNumberFormat="1" applyFont="1" applyFill="1" applyBorder="1" applyAlignment="1">
      <x:alignment horizontal="left" vertical="center"/>
    </x:xf>
    <x:xf numFmtId="0" fontId="3" fillId="3" borderId="0" xfId="0" applyNumberFormat="1" applyFont="1" applyFill="1" applyBorder="1"/>
    <x:xf numFmtId="0" fontId="3" fillId="3" borderId="0" xfId="0" applyNumberFormat="1" applyFont="1" applyFill="1" applyBorder="1" applyAlignment="1">
      <x:alignment wrapText="1"/>
    </x:xf>
    <x:xf numFmtId="0" fontId="3" fillId="3" borderId="0" xfId="0" applyNumberFormat="1" applyFont="1" applyFill="1" applyBorder="1" applyAlignment="1">
      <x:alignment vertical="top" wrapText="1"/>
    </x:xf>
    <x:xf numFmtId="0" fontId="0" fillId="0" borderId="0" xfId="0" applyNumberFormat="1" applyFont="1" applyFill="1" applyBorder="1"/>
    <x:xf numFmtId="0" fontId="0" fillId="0" borderId="2" xfId="0" applyNumberFormat="1" applyFont="1" applyFill="1" applyBorder="1"/>
    <x:xf numFmtId="0" fontId="0" fillId="0" borderId="0" xfId="0" applyNumberFormat="1" applyFont="1" applyFill="1" applyBorder="1" applyAlignment="1">
      <x:alignment wrapText="1"/>
    </x:xf>
    <x:xf numFmtId="0" fontId="0" fillId="0" borderId="2"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5" borderId="0" xfId="0" applyNumberFormat="1" applyFont="1" applyFill="1" applyBorder="1"/>
    <x:xf numFmtId="0" fontId="0" fillId="6" borderId="0" xfId="0" applyNumberFormat="1" applyFont="1" applyFill="1" applyBorder="1"/>
    <x:xf numFmtId="0" fontId="0" fillId="7" borderId="0" xfId="0" applyNumberFormat="1" applyFont="1" applyFill="1" applyBorder="1"/>
    <x:xf numFmtId="0" fontId="0" fillId="8" borderId="0" xfId="0" applyNumberFormat="1" applyFont="1" applyFill="1" applyBorder="1"/>
    <x:xf numFmtId="0" fontId="0" fillId="5" borderId="0" xfId="0" applyNumberFormat="1" applyFont="1" applyFill="1" applyBorder="1" applyAlignment="1">
      <x:alignment wrapText="1"/>
    </x:xf>
    <x:xf numFmtId="0" fontId="0" fillId="6" borderId="0" xfId="0" applyNumberFormat="1" applyFont="1" applyFill="1" applyBorder="1" applyAlignment="1">
      <x:alignment wrapText="1"/>
    </x:xf>
    <x:xf numFmtId="0" fontId="0" fillId="7" borderId="0" xfId="0" applyNumberFormat="1" applyFont="1" applyFill="1" applyBorder="1" applyAlignment="1">
      <x:alignment wrapText="1"/>
    </x:xf>
    <x:xf numFmtId="0" fontId="0" fillId="8" borderId="0" xfId="0" applyNumberFormat="1" applyFont="1" applyFill="1" applyBorder="1" applyAlignment="1">
      <x:alignment wrapText="1"/>
    </x:xf>
    <x:xf numFmtId="0" fontId="0" fillId="3" borderId="0" xfId="0" applyNumberFormat="1" applyFont="1" applyFill="1" applyBorder="1" applyAlignment="1">
      <x:alignment wrapText="1"/>
    </x:xf>
    <x:xf numFmtId="0" fontId="0" fillId="4" borderId="0" xfId="0" applyNumberFormat="1" applyFont="1" applyFill="1" applyBorder="1" applyAlignment="1">
      <x:alignment wrapText="1"/>
    </x:xf>
    <x:xf numFmtId="0" fontId="4" fillId="3" borderId="0" xfId="0" applyNumberFormat="1" applyFont="1" applyFill="1" applyBorder="1"/>
    <x:xf numFmtId="0" fontId="4" fillId="6" borderId="0" xfId="0" applyNumberFormat="1" applyFont="1" applyFill="1" applyBorder="1"/>
    <x:xf numFmtId="0" fontId="4" fillId="6" borderId="0" xfId="0" applyNumberFormat="1" applyFont="1" applyFill="1" applyBorder="1" applyAlignment="1">
      <x:alignment wrapText="1"/>
    </x:xf>
    <x:xf numFmtId="0" fontId="5" fillId="2" borderId="0" xfId="0" applyNumberFormat="1" applyFont="1" applyFill="1" applyBorder="1"/>
    <x:xf numFmtId="0" fontId="5" fillId="2" borderId="3" xfId="0" applyNumberFormat="1" applyFont="1" applyFill="1" applyBorder="1"/>
    <x:xf numFmtId="0" fontId="5" fillId="2" borderId="3" xfId="0" applyNumberFormat="1" applyFont="1" applyFill="1" applyBorder="1" applyAlignment="1">
      <x:alignment wrapText="1"/>
    </x:xf>
    <x:xf numFmtId="0" fontId="5" fillId="2" borderId="3" xfId="0" applyNumberFormat="1" applyFont="1" applyFill="1" applyBorder="1" applyAlignment="1">
      <x:alignment horizontal="left" wrapText="1"/>
    </x:xf>
    <x:xf numFmtId="0" fontId="5" fillId="2" borderId="3" xfId="0" applyNumberFormat="1" applyFont="1" applyFill="1" applyBorder="1" applyAlignment="1">
      <x:alignment horizontal="left" vertical="center" wrapText="1"/>
    </x:xf>
    <x:xf numFmtId="0" fontId="3" fillId="5" borderId="0" xfId="0" applyNumberFormat="1" applyFont="1" applyFill="1" applyBorder="1"/>
    <x:xf numFmtId="0" fontId="3" fillId="5" borderId="1" xfId="0" applyNumberFormat="1" applyFont="1" applyFill="1" applyBorder="1"/>
    <x:xf numFmtId="0" fontId="3" fillId="5" borderId="1" xfId="0" applyNumberFormat="1" applyFont="1" applyFill="1" applyBorder="1" applyAlignment="1">
      <x:alignment horizontal="left"/>
    </x:xf>
    <x:xf numFmtId="0" fontId="3" fillId="5" borderId="1" xfId="0" applyNumberFormat="1" applyFont="1" applyFill="1" applyBorder="1" applyAlignment="1">
      <x:alignment horizontal="left" vertical="center"/>
    </x:xf>
    <x:xf numFmtId="0" fontId="0" fillId="9" borderId="0" xfId="0" applyNumberFormat="1" applyFont="1" applyFill="1" applyBorder="1"/>
    <x:xf numFmtId="0" fontId="5" fillId="9" borderId="0" xfId="0" applyNumberFormat="1" applyFont="1" applyFill="1" applyBorder="1"/>
    <x:xf numFmtId="0" fontId="5" fillId="9" borderId="4" xfId="0" applyNumberFormat="1" applyFont="1" applyFill="1" applyBorder="1"/>
    <x:xf numFmtId="0" fontId="5" fillId="9" borderId="4" xfId="0" applyNumberFormat="1" applyFont="1" applyFill="1" applyBorder="1" applyAlignment="1">
      <x:alignment wrapText="1"/>
    </x:xf>
    <x:xf numFmtId="0" fontId="5" fillId="9" borderId="4" xfId="0" applyNumberFormat="1" applyFont="1" applyFill="1" applyBorder="1" applyAlignment="1">
      <x:alignment horizontal="left" wrapText="1"/>
    </x:xf>
    <x:xf numFmtId="0" fontId="5" fillId="9" borderId="4" xfId="0" applyNumberFormat="1" applyFont="1" applyFill="1" applyBorder="1" applyAlignment="1">
      <x:alignment horizontal="left" vertical="center" wrapText="1"/>
    </x:xf>
    <x:xf numFmtId="0" fontId="6" fillId="5" borderId="0" xfId="0" applyNumberFormat="1" applyFont="1" applyFill="1" applyBorder="1"/>
    <x:xf numFmtId="0" fontId="6" fillId="5" borderId="5" xfId="0" applyNumberFormat="1" applyFont="1" applyFill="1" applyBorder="1"/>
    <x:xf numFmtId="200" fontId="6" fillId="5" borderId="0" xfId="0" applyNumberFormat="1" applyFont="1" applyFill="1" applyBorder="1"/>
    <x:xf numFmtId="201" fontId="6" fillId="5" borderId="5" xfId="0" applyNumberFormat="1" applyFont="1" applyFill="1" applyBorder="1"/>
    <x:xf numFmtId="0" fontId="3" fillId="6" borderId="0" xfId="0" applyNumberFormat="1" applyFont="1" applyFill="1" applyBorder="1"/>
    <x:xf numFmtId="0" fontId="3" fillId="6" borderId="1" xfId="0" applyNumberFormat="1" applyFont="1" applyFill="1" applyBorder="1"/>
    <x:xf numFmtId="0" fontId="3" fillId="6" borderId="1" xfId="0" applyNumberFormat="1" applyFont="1" applyFill="1" applyBorder="1" applyAlignment="1">
      <x:alignment horizontal="left"/>
    </x:xf>
    <x:xf numFmtId="0" fontId="3" fillId="6" borderId="1" xfId="0" applyNumberFormat="1" applyFont="1" applyFill="1" applyBorder="1" applyAlignment="1">
      <x:alignment horizontal="left" vertical="center"/>
    </x:xf>
    <x:xf numFmtId="0" fontId="0" fillId="10" borderId="0" xfId="0" applyNumberFormat="1" applyFont="1" applyFill="1" applyBorder="1"/>
    <x:xf numFmtId="0" fontId="5" fillId="10" borderId="0" xfId="0" applyNumberFormat="1" applyFont="1" applyFill="1" applyBorder="1"/>
    <x:xf numFmtId="0" fontId="5" fillId="10" borderId="6" xfId="0" applyNumberFormat="1" applyFont="1" applyFill="1" applyBorder="1"/>
    <x:xf numFmtId="0" fontId="5" fillId="10" borderId="6" xfId="0" applyNumberFormat="1" applyFont="1" applyFill="1" applyBorder="1" applyAlignment="1">
      <x:alignment wrapText="1"/>
    </x:xf>
    <x:xf numFmtId="0" fontId="5" fillId="10" borderId="6" xfId="0" applyNumberFormat="1" applyFont="1" applyFill="1" applyBorder="1" applyAlignment="1">
      <x:alignment horizontal="left" wrapText="1"/>
    </x:xf>
    <x:xf numFmtId="0" fontId="5" fillId="10" borderId="6" xfId="0" applyNumberFormat="1" applyFont="1" applyFill="1" applyBorder="1" applyAlignment="1">
      <x:alignment horizontal="left" vertical="center" wrapText="1"/>
    </x:xf>
    <x:xf numFmtId="202" fontId="0" fillId="0" borderId="0" xfId="0" applyNumberFormat="1" applyFont="1" applyFill="1" applyBorder="1"/>
    <x:xf numFmtId="202" fontId="0" fillId="6" borderId="0" xfId="0" applyNumberFormat="1" applyFont="1" applyFill="1" applyBorder="1"/>
    <x:xf numFmtId="202" fontId="3" fillId="6" borderId="0" xfId="0" applyNumberFormat="1" applyFont="1" applyFill="1" applyBorder="1"/>
    <x:xf numFmtId="202" fontId="3" fillId="6" borderId="2" xfId="0" applyNumberFormat="1" applyFont="1" applyFill="1" applyBorder="1"/>
    <x:xf numFmtId="202" fontId="0" fillId="0" borderId="2" xfId="0" applyNumberFormat="1" applyFont="1" applyFill="1" applyBorder="1"/>
    <x:xf numFmtId="0" fontId="7" fillId="3" borderId="0" xfId="0" applyNumberFormat="1" applyFont="1" applyFill="1" applyBorder="1"/>
    <x:xf numFmtId="0" fontId="7" fillId="3" borderId="0" xfId="0" applyNumberFormat="1" applyFont="1" applyFill="1" applyBorder="1" applyAlignment="1">
      <x:alignment wrapText="1"/>
    </x:xf>
    <x:xf numFmtId="0" fontId="0" fillId="11" borderId="0" xfId="0" applyNumberFormat="1" applyFont="1" applyFill="1" applyBorder="1"/>
    <x:xf numFmtId="0" fontId="5" fillId="11" borderId="0" xfId="0" applyNumberFormat="1" applyFont="1" applyFill="1" applyBorder="1"/>
    <x:xf numFmtId="0" fontId="5" fillId="11" borderId="7" xfId="0" applyNumberFormat="1" applyFont="1" applyFill="1" applyBorder="1"/>
    <x:xf numFmtId="0" fontId="5" fillId="11" borderId="7" xfId="0" applyNumberFormat="1" applyFont="1" applyFill="1" applyBorder="1" applyAlignment="1">
      <x:alignment wrapText="1"/>
    </x:xf>
    <x:xf numFmtId="0" fontId="5" fillId="11" borderId="7" xfId="0" applyNumberFormat="1" applyFont="1" applyFill="1" applyBorder="1" applyAlignment="1">
      <x:alignment horizontal="left" wrapText="1"/>
    </x:xf>
    <x:xf numFmtId="0" fontId="5" fillId="11" borderId="7" xfId="0" applyNumberFormat="1" applyFont="1" applyFill="1" applyBorder="1" applyAlignment="1">
      <x:alignment horizontal="left" vertical="center" wrapText="1"/>
    </x:xf>
    <x:xf numFmtId="202" fontId="6" fillId="5" borderId="0" xfId="0" applyNumberFormat="1" applyFont="1" applyFill="1" applyBorder="1"/>
    <x:xf numFmtId="202" fontId="6" fillId="5" borderId="5" xfId="0" applyNumberFormat="1" applyFont="1" applyFill="1" applyBorder="1"/>
    <x:xf numFmtId="201" fontId="6" fillId="5" borderId="0" xfId="0" applyNumberFormat="1" applyFont="1" applyFill="1" applyBorder="1"/>
    <x:xf numFmtId="203" fontId="0" fillId="0" borderId="0" xfId="0" applyNumberFormat="1" applyFont="1" applyFill="1" applyBorder="1"/>
    <x:xf numFmtId="203" fontId="0" fillId="7" borderId="0" xfId="0" applyNumberFormat="1" applyFont="1" applyFill="1" applyBorder="1"/>
    <x:xf numFmtId="203" fontId="3" fillId="7" borderId="0" xfId="0" applyNumberFormat="1" applyFont="1" applyFill="1" applyBorder="1"/>
    <x:xf numFmtId="0" fontId="3" fillId="7" borderId="0" xfId="0" applyNumberFormat="1" applyFont="1" applyFill="1" applyBorder="1" applyAlignment="1">
      <x:alignment wrapText="1"/>
    </x:xf>
    <x:xf numFmtId="203" fontId="3" fillId="7" borderId="2" xfId="0" applyNumberFormat="1" applyFont="1" applyFill="1" applyBorder="1"/>
    <x:xf numFmtId="0" fontId="3" fillId="7" borderId="2" xfId="0" applyNumberFormat="1" applyFont="1" applyFill="1" applyBorder="1" applyAlignment="1">
      <x:alignment wrapText="1"/>
    </x:xf>
    <x:xf numFmtId="0" fontId="8" fillId="3" borderId="0" xfId="0" applyNumberFormat="1" applyFont="1" applyFill="1" applyBorder="1"/>
    <x:xf numFmtId="0" fontId="8" fillId="3" borderId="0" xfId="0" applyNumberFormat="1" applyFont="1" applyFill="1" applyBorder="1" applyAlignment="1">
      <x:alignment wrapText="1"/>
    </x:xf>
    <x:xf numFmtId="0" fontId="8" fillId="3" borderId="0" xfId="0" applyNumberFormat="1" applyFont="1" applyFill="1" applyBorder="1" applyAlignment="1">
      <x:alignment vertical="top" wrapText="1"/>
    </x:xf>
    <x:xf numFmtId="202" fontId="6" fillId="5" borderId="2" xfId="0" applyNumberFormat="1" applyFont="1" applyFill="1" applyBorder="1"/>
    <x:xf numFmtId="202" fontId="0" fillId="6" borderId="2" xfId="0" applyNumberFormat="1" applyFont="1" applyFill="1" applyBorder="1"/>
    <x:xf numFmtId="202" fontId="0" fillId="3" borderId="0" xfId="0" applyNumberFormat="1" applyFont="1" applyFill="1" applyBorder="1"/>
    <x:xf numFmtId="0" fontId="0" fillId="3" borderId="2" xfId="0" applyNumberFormat="1" applyFont="1" applyFill="1" applyBorder="1"/>
    <x:xf numFmtId="202" fontId="0" fillId="3" borderId="2" xfId="0" applyNumberFormat="1" applyFont="1" applyFill="1" applyBorder="1"/>
    <x:xf numFmtId="0" fontId="4" fillId="3" borderId="2" xfId="0" applyNumberFormat="1" applyFont="1" applyFill="1" applyBorder="1"/>
    <x:xf numFmtId="202" fontId="4" fillId="3" borderId="0" xfId="0" applyNumberFormat="1" applyFont="1" applyFill="1" applyBorder="1"/>
    <x:xf numFmtId="202" fontId="4" fillId="3" borderId="2" xfId="0" applyNumberFormat="1" applyFont="1" applyFill="1" applyBorder="1"/>
    <x:xf numFmtId="0" fontId="3" fillId="4" borderId="0" xfId="0" applyNumberFormat="1" applyFont="1" applyFill="1" applyBorder="1" applyAlignment="1">
      <x:alignment wrapText="1"/>
    </x:xf>
    <x:xf numFmtId="202" fontId="6" fillId="5" borderId="0" xfId="0" applyNumberFormat="1" applyFont="1" applyFill="1" applyBorder="1" applyAlignment="1">
      <x:alignment wrapText="1"/>
    </x:xf>
    <x:xf numFmtId="202" fontId="0" fillId="0" borderId="0" xfId="0" applyNumberFormat="1" applyFont="1" applyFill="1" applyBorder="1" applyAlignment="1">
      <x:alignment wrapText="1"/>
    </x:xf>
    <x:xf numFmtId="202" fontId="6" fillId="5" borderId="2" xfId="0" applyNumberFormat="1" applyFont="1" applyFill="1" applyBorder="1" applyAlignment="1">
      <x:alignment wrapText="1"/>
    </x:xf>
    <x:xf numFmtId="202" fontId="0" fillId="0" borderId="2" xfId="0" applyNumberFormat="1" applyFont="1" applyFill="1" applyBorder="1" applyAlignment="1">
      <x:alignment wrapText="1"/>
    </x:xf>
    <x:xf numFmtId="202" fontId="0" fillId="6" borderId="0" xfId="0" applyNumberFormat="1" applyFont="1" applyFill="1" applyBorder="1" applyAlignment="1">
      <x:alignment wrapText="1"/>
    </x:xf>
    <x:xf numFmtId="202" fontId="0" fillId="6" borderId="2" xfId="0" applyNumberFormat="1" applyFont="1" applyFill="1" applyBorder="1" applyAlignment="1">
      <x:alignment wrapText="1"/>
    </x:xf>
    <x:xf numFmtId="202" fontId="3" fillId="6" borderId="0" xfId="0" applyNumberFormat="1" applyFont="1" applyFill="1" applyBorder="1" applyAlignment="1">
      <x:alignment wrapText="1"/>
    </x:xf>
    <x:xf numFmtId="202" fontId="3" fillId="6" borderId="2" xfId="0" applyNumberFormat="1" applyFont="1" applyFill="1" applyBorder="1" applyAlignment="1">
      <x:alignment wrapText="1"/>
    </x:xf>
    <x:xf numFmtId="0" fontId="0" fillId="4" borderId="2" xfId="0" applyNumberFormat="1" applyFont="1" applyFill="1" applyBorder="1"/>
    <x:xf numFmtId="0" fontId="4" fillId="4" borderId="2" xfId="0" applyNumberFormat="1" applyFont="1" applyFill="1" applyBorder="1"/>
    <x:xf numFmtId="0" fontId="4" fillId="4" borderId="0" xfId="0" applyNumberFormat="1" applyFont="1" applyFill="1" applyBorder="1"/>
    <x:xf numFmtId="0" fontId="4" fillId="4" borderId="2" xfId="0" applyNumberFormat="1" applyFont="1" applyFill="1" applyBorder="1" applyAlignment="1">
      <x:alignment wrapText="1"/>
    </x:xf>
    <x:xf numFmtId="0" fontId="4" fillId="4" borderId="0" xfId="0" applyNumberFormat="1" applyFont="1" applyFill="1" applyBorder="1" applyAlignment="1">
      <x:alignment wrapText="1"/>
    </x:xf>
    <x:xf numFmtId="0" fontId="4" fillId="4" borderId="2" xfId="0" applyNumberFormat="1" applyFont="1" applyFill="1" applyBorder="1" applyAlignment="1">
      <x:alignment vertical="top" wrapText="1"/>
    </x:xf>
    <x:xf numFmtId="0" fontId="4" fillId="4" borderId="0" xfId="0" applyNumberFormat="1" applyFont="1" applyFill="1" applyBorder="1" applyAlignment="1">
      <x:alignment vertical="top" wrapText="1"/>
    </x:xf>
    <x:xf numFmtId="202" fontId="0" fillId="5" borderId="0" xfId="0" applyNumberFormat="1" applyFont="1" applyFill="1" applyBorder="1"/>
    <x:xf numFmtId="0" fontId="0" fillId="7" borderId="0" xfId="0" applyNumberFormat="1" applyFont="1" applyFill="1" applyBorder="1" applyAlignment="1">
      <x:alignment vertical="top" wrapText="1"/>
    </x:xf>
    <x:xf numFmtId="0" fontId="3" fillId="6" borderId="2" xfId="0" applyNumberFormat="1" applyFont="1" applyFill="1" applyBorder="1"/>
    <x:xf numFmtId="201" fontId="6" fillId="5" borderId="2" xfId="0" applyNumberFormat="1" applyFont="1" applyFill="1" applyBorder="1"/>
    <x:xf numFmtId="0" fontId="9" fillId="6" borderId="0" xfId="0" applyNumberFormat="1" applyFont="1" applyFill="1" applyBorder="1"/>
    <x:xf numFmtId="0" fontId="9" fillId="6" borderId="2" xfId="0" applyNumberFormat="1" applyFont="1" applyFill="1" applyBorder="1"/>
    <x:xf numFmtId="202" fontId="9" fillId="6" borderId="2" xfId="0" applyNumberFormat="1" applyFont="1" applyFill="1" applyBorder="1"/>
    <x:xf numFmtId="0" fontId="0" fillId="8" borderId="0" xfId="0" applyNumberFormat="1" applyFont="1" applyFill="1" applyBorder="1" applyAlignment="1">
      <x:alignment vertical="top" wrapText="1"/>
    </x:xf>
    <x:xf numFmtId="0" fontId="0" fillId="8" borderId="2" xfId="0" applyNumberFormat="1" applyFont="1" applyFill="1" applyBorder="1" applyAlignment="1">
      <x:alignment vertical="top" wrapText="1"/>
    </x:xf>
    <x:xf numFmtId="0" fontId="10" fillId="8" borderId="0" xfId="0" applyNumberFormat="1" applyFont="1" applyFill="1" applyBorder="1" applyAlignment="1">
      <x:alignment vertical="top" wrapText="1"/>
    </x:xf>
    <x:xf numFmtId="0" fontId="10" fillId="8" borderId="2" xfId="0" applyNumberFormat="1" applyFont="1" applyFill="1" applyBorder="1" applyAlignment="1">
      <x:alignment vertical="top" wrapText="1"/>
    </x:xf>
    <x:xf numFmtId="0" fontId="3" fillId="4" borderId="0" xfId="0" applyNumberFormat="1" applyFont="1" applyFill="1" applyBorder="1" applyAlignment="1">
      <x:alignment vertical="top" wrapText="1"/>
    </x:xf>
    <x:xf numFmtId="0" fontId="11" fillId="6" borderId="0" xfId="0" applyNumberFormat="1" applyFont="1" applyFill="1" applyBorder="1"/>
    <x:xf numFmtId="0" fontId="12" fillId="4" borderId="0" xfId="0" applyNumberFormat="1" applyFont="1" applyFill="1" applyBorder="1"/>
    <x:xf numFmtId="0" fontId="13" fillId="6" borderId="0" xfId="0" applyNumberFormat="1" applyFont="1" applyFill="1" applyBorder="1"/>
    <x:xf numFmtId="204" fontId="0" fillId="0" borderId="0" xfId="0" applyNumberFormat="1" applyFont="1" applyFill="1" applyBorder="1"/>
    <x:xf numFmtId="204" fontId="0" fillId="0" borderId="2" xfId="0" applyNumberFormat="1" applyFont="1" applyFill="1" applyBorder="1"/>
    <x:xf numFmtId="0" fontId="14" fillId="0" borderId="0" xfId="0" applyNumberFormat="1" applyFont="1" applyFill="1" applyBorder="1" applyAlignment="1">
      <x:alignment vertical="top" wrapText="1"/>
    </x:xf>
    <x:xf numFmtId="0" fontId="14" fillId="0" borderId="2" xfId="0" applyNumberFormat="1" applyFont="1" applyFill="1" applyBorder="1" applyAlignment="1">
      <x:alignment vertical="top" wrapText="1"/>
    </x:xf>
    <x:xf numFmtId="205" fontId="0" fillId="0" borderId="0" xfId="0" applyNumberFormat="1" applyFont="1" applyFill="1" applyBorder="1" applyAlignment="1">
      <x:alignment vertical="top" wrapText="1"/>
    </x:xf>
    <x:xf numFmtId="205" fontId="0" fillId="0" borderId="2" xfId="0" applyNumberFormat="1" applyFont="1" applyFill="1" applyBorder="1" applyAlignment="1">
      <x:alignment vertical="top" wrapText="1"/>
    </x:xf>
    <x:xf numFmtId="0" fontId="1" fillId="2" borderId="0" xfId="0" applyNumberFormat="1" applyFont="1" applyFill="1" applyBorder="1" applyAlignment="1">
      <x:alignment horizontal="left" vertical="center" wrapText="1"/>
    </x:xf>
    <x:xf numFmtId="0" fontId="3" fillId="4" borderId="1" xfId="0" applyNumberFormat="1" applyFont="1" applyFill="1" applyBorder="1" applyAlignment="1">
      <x:alignment horizontal="left" vertical="center" wrapText="1"/>
    </x:xf>
    <x:xf numFmtId="0" fontId="4" fillId="3" borderId="0" xfId="0" applyNumberFormat="1" applyFont="1" applyFill="1" applyBorder="1" applyAlignment="1">
      <x:alignment wrapText="1"/>
    </x:xf>
    <x:xf numFmtId="0" fontId="3" fillId="5" borderId="1" xfId="0" applyNumberFormat="1" applyFont="1" applyFill="1" applyBorder="1" applyAlignment="1">
      <x:alignment horizontal="left" vertical="center" wrapText="1"/>
    </x:xf>
    <x:xf numFmtId="0" fontId="3" fillId="6" borderId="1" xfId="0" applyNumberFormat="1" applyFont="1" applyFill="1" applyBorder="1" applyAlignment="1">
      <x:alignment horizontal="left" vertical="center" wrapText="1"/>
    </x:xf>
    <x:xf numFmtId="200" fontId="6" fillId="5" borderId="0" xfId="0" applyNumberFormat="1" applyFont="1" applyFill="1" applyBorder="1" applyAlignment="1">
      <x:alignment wrapText="1"/>
    </x:xf>
    <x:xf numFmtId="201" fontId="6" fillId="5" borderId="5" xfId="0" applyNumberFormat="1" applyFont="1" applyFill="1" applyBorder="1" applyAlignment="1">
      <x:alignment wrapText="1"/>
    </x:xf>
    <x:xf numFmtId="201" fontId="6" fillId="5" borderId="0" xfId="0" applyNumberFormat="1" applyFont="1" applyFill="1" applyBorder="1" applyAlignment="1">
      <x:alignment wrapText="1"/>
    </x:xf>
    <x:xf numFmtId="203" fontId="3" fillId="7" borderId="0" xfId="0" applyNumberFormat="1" applyFont="1" applyFill="1" applyBorder="1" applyAlignment="1">
      <x:alignment wrapText="1"/>
    </x:xf>
    <x:xf numFmtId="202" fontId="6" fillId="5" borderId="5" xfId="0" applyNumberFormat="1" applyFont="1" applyFill="1" applyBorder="1" applyAlignment="1">
      <x:alignment wrapText="1"/>
    </x:xf>
    <x:xf numFmtId="203" fontId="3" fillId="7" borderId="2" xfId="0" applyNumberFormat="1" applyFont="1" applyFill="1" applyBorder="1" applyAlignment="1">
      <x:alignment wrapText="1"/>
    </x:xf>
    <x:xf numFmtId="202" fontId="0" fillId="3" borderId="0" xfId="0" applyNumberFormat="1" applyFont="1" applyFill="1" applyBorder="1" applyAlignment="1">
      <x:alignment wrapText="1"/>
    </x:xf>
    <x:xf numFmtId="202" fontId="4" fillId="3" borderId="0" xfId="0" applyNumberFormat="1" applyFont="1" applyFill="1" applyBorder="1" applyAlignment="1">
      <x:alignment wrapText="1"/>
    </x:xf>
    <x:xf numFmtId="0" fontId="4" fillId="3" borderId="2" xfId="0" applyNumberFormat="1" applyFont="1" applyFill="1" applyBorder="1" applyAlignment="1">
      <x:alignment wrapText="1"/>
    </x:xf>
    <x:xf numFmtId="202" fontId="0" fillId="3" borderId="2" xfId="0" applyNumberFormat="1" applyFont="1" applyFill="1" applyBorder="1" applyAlignment="1">
      <x:alignment wrapText="1"/>
    </x:xf>
    <x:xf numFmtId="202" fontId="4" fillId="3" borderId="2" xfId="0" applyNumberFormat="1" applyFont="1" applyFill="1" applyBorder="1" applyAlignment="1">
      <x:alignment wrapText="1"/>
    </x:xf>
    <x:xf numFmtId="0" fontId="0" fillId="3" borderId="2" xfId="0" applyNumberFormat="1" applyFont="1" applyFill="1" applyBorder="1" applyAlignment="1">
      <x:alignment wrapText="1"/>
    </x:xf>
    <x:xf numFmtId="201" fontId="6" fillId="5" borderId="2" xfId="0" applyNumberFormat="1" applyFont="1" applyFill="1" applyBorder="1" applyAlignment="1">
      <x:alignment wrapText="1"/>
    </x:xf>
    <x:xf numFmtId="0" fontId="9" fillId="6" borderId="2" xfId="0" applyNumberFormat="1" applyFont="1" applyFill="1" applyBorder="1" applyAlignment="1">
      <x:alignment wrapText="1"/>
    </x:xf>
    <x:xf numFmtId="202" fontId="9" fillId="6" borderId="2" xfId="0" applyNumberFormat="1" applyFont="1" applyFill="1" applyBorder="1" applyAlignment="1">
      <x:alignment wrapText="1"/>
    </x:xf>
    <x:xf numFmtId="0" fontId="11" fillId="6" borderId="0" xfId="0" applyNumberFormat="1" applyFont="1" applyFill="1" applyBorder="1" applyAlignment="1">
      <x:alignment wrapText="1"/>
    </x:xf>
    <x:xf numFmtId="0" fontId="12" fillId="4" borderId="0" xfId="0" applyNumberFormat="1" applyFont="1" applyFill="1" applyBorder="1" applyAlignment="1">
      <x:alignment wrapText="1"/>
    </x:xf>
    <x:xf numFmtId="0" fontId="13" fillId="6" borderId="0" xfId="0" applyNumberFormat="1" applyFont="1" applyFill="1" applyBorder="1" applyAlignment="1">
      <x:alignment wrapText="1"/>
    </x:xf>
    <x:xf numFmtId="204" fontId="0" fillId="0" borderId="0" xfId="0" applyNumberFormat="1" applyFont="1" applyFill="1" applyBorder="1" applyAlignment="1">
      <x:alignment wrapText="1"/>
    </x:xf>
    <x:xf numFmtId="204" fontId="0" fillId="0" borderId="2" xfId="0" applyNumberFormat="1" applyFont="1" applyFill="1" applyBorder="1" applyAlignment="1">
      <x:alignment wrapText="1"/>
    </x:xf>
  </x:cellXfs>
  <x:cellStyles count="1">
    <x:cellStyle name="Normal" xfId="0"/>
  </x:cellStyles>
  <x:dxfs count="17">
    <x:dxf>
      <x:font>
        <x:b/>
        <x:color rgb="FFBE123C"/>
      </x:font>
      <x:fill>
        <x:patternFill patternType="solid">
          <x:bgColor rgb="FFFFE4E6"/>
        </x:patternFill>
      </x:fill>
    </x:dxf>
    <x:dxf>
      <x:font>
        <x:b/>
        <x:color rgb="FF047857"/>
      </x:font>
      <x:fill>
        <x:patternFill patternType="solid">
          <x:bgColor rgb="FFD1FAE5"/>
        </x:patternFill>
      </x:fill>
    </x:dxf>
    <x:dxf>
      <x:font>
        <x:b/>
        <x:color rgb="FFBE123C"/>
      </x:font>
      <x:fill>
        <x:patternFill patternType="solid">
          <x:bgColor rgb="FFFFE4E6"/>
        </x:patternFill>
      </x:fill>
    </x:dxf>
    <x:dxf>
      <x:font>
        <x:b/>
        <x:color rgb="FFBE123C"/>
      </x:font>
      <x:fill>
        <x:patternFill patternType="solid">
          <x:bgColor rgb="FFFFE4E6"/>
        </x:patternFill>
      </x:fill>
    </x:dxf>
    <x:dxf>
      <x:font>
        <x:b/>
        <x:color rgb="FFB45309"/>
      </x:font>
      <x:fill>
        <x:patternFill patternType="solid">
          <x:bgColor rgb="FFFEF3C7"/>
        </x:patternFill>
      </x:fill>
    </x:dxf>
    <x:dxf>
      <x:font>
        <x:b/>
        <x:color rgb="FF047857"/>
      </x:font>
      <x:fill>
        <x:patternFill patternType="solid">
          <x:bgColor rgb="FFD1FAE5"/>
        </x:patternFill>
      </x:fill>
    </x:dxf>
    <x:dxf>
      <x:font>
        <x:b/>
        <x:color rgb="FFBE123C"/>
      </x:font>
      <x:fill>
        <x:patternFill patternType="solid">
          <x:bgColor rgb="FFFFE4E6"/>
        </x:patternFill>
      </x:fill>
    </x:dxf>
    <x:dxf>
      <x:font>
        <x:b/>
        <x:color rgb="FF047857"/>
      </x:font>
      <x:fill>
        <x:patternFill patternType="solid">
          <x:bgColor rgb="FFD1FAE5"/>
        </x:patternFill>
      </x:fill>
    </x:dxf>
    <x:dxf>
      <x:font>
        <x:b/>
        <x:color rgb="FFBE123C"/>
      </x:font>
      <x:fill>
        <x:patternFill patternType="solid">
          <x:bgColor rgb="FFFFE4E6"/>
        </x:patternFill>
      </x:fill>
    </x:dxf>
    <x:dxf>
      <x:font>
        <x:b/>
        <x:color rgb="FFBE123C"/>
      </x:font>
      <x:fill>
        <x:patternFill patternType="solid">
          <x:bgColor rgb="FFFFE4E6"/>
        </x:patternFill>
      </x:fill>
    </x:dxf>
    <x:dxf>
      <x:font>
        <x:b/>
        <x:color rgb="FFB45309"/>
      </x:font>
      <x:fill>
        <x:patternFill patternType="solid">
          <x:bgColor rgb="FFFEF3C7"/>
        </x:patternFill>
      </x:fill>
    </x:dxf>
    <x:dxf>
      <x:font>
        <x:b/>
        <x:color rgb="FFB45309"/>
      </x:font>
      <x:fill>
        <x:patternFill patternType="solid">
          <x:bgColor rgb="FFFEF3C7"/>
        </x:patternFill>
      </x:fill>
    </x:dxf>
    <x:dxf>
      <x:font>
        <x:b/>
        <x:color rgb="FFBE123C"/>
      </x:font>
      <x:fill>
        <x:patternFill patternType="solid">
          <x:bgColor rgb="FFFFE4E6"/>
        </x:patternFill>
      </x:fill>
    </x:dxf>
    <x:dxf>
      <x:font>
        <x:b/>
        <x:color rgb="FFB45309"/>
      </x:font>
      <x:fill>
        <x:patternFill patternType="solid">
          <x:bgColor rgb="FFFEF3C7"/>
        </x:patternFill>
      </x:fill>
    </x:dxf>
    <x:dxf>
      <x:font>
        <x:b/>
        <x:color rgb="FFBE123C"/>
      </x:font>
      <x:fill>
        <x:patternFill patternType="solid">
          <x:bgColor rgb="FFFFE4E6"/>
        </x:patternFill>
      </x:fill>
    </x:dxf>
    <x:dxf>
      <x:font>
        <x:b/>
        <x:color rgb="FF047857"/>
      </x:font>
      <x:fill>
        <x:patternFill patternType="solid">
          <x:bgColor rgb="FFD1FAE5"/>
        </x:patternFill>
      </x:fill>
    </x:dxf>
    <x:dxf>
      <x:font>
        <x:b/>
        <x:color rgb="FFB45309"/>
      </x:font>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2d47113e89eb4f7d" /><Relationship Type="http://schemas.openxmlformats.org/officeDocument/2006/relationships/theme" Target="/xl/theme/theme1.xml" Id="R03a4a716273949af" /><Relationship Type="http://schemas.openxmlformats.org/officeDocument/2006/relationships/sharedStrings" Target="/xl/sharedStrings.xml" Id="Rcd6c8cda4b6f46f1" /><Relationship Type="http://schemas.openxmlformats.org/officeDocument/2006/relationships/worksheet" Target="/xl/worksheets/sheet1.xml" Id="R72194dc71a964c96" /><Relationship Type="http://schemas.openxmlformats.org/officeDocument/2006/relationships/worksheet" Target="/xl/worksheets/sheet2.xml" Id="R67c1a0a9343f4f5f" /><Relationship Type="http://schemas.openxmlformats.org/officeDocument/2006/relationships/worksheet" Target="/xl/worksheets/sheet3.xml" Id="R0d73d87b57f04542" /><Relationship Type="http://schemas.openxmlformats.org/officeDocument/2006/relationships/worksheet" Target="/xl/worksheets/sheet4.xml" Id="Ra8bb9e1c5ac1456e" /><Relationship Type="http://schemas.openxmlformats.org/officeDocument/2006/relationships/worksheet" Target="/xl/worksheets/sheet5.xml" Id="Rbd99c1dbcce740c8" /><Relationship Type="http://schemas.openxmlformats.org/officeDocument/2006/relationships/worksheet" Target="/xl/worksheets/sheet6.xml" Id="R5d1602bfb3914880" /><Relationship Type="http://schemas.openxmlformats.org/officeDocument/2006/relationships/worksheet" Target="/xl/worksheets/sheet7.xml" Id="R572f6d177d114b57" /><Relationship Type="http://schemas.openxmlformats.org/officeDocument/2006/relationships/worksheet" Target="/xl/worksheets/sheet8.xml" Id="R75ab185efcd240cb" /><Relationship Type="http://schemas.openxmlformats.org/officeDocument/2006/relationships/worksheet" Target="/xl/worksheets/sheet9.xml" Id="Rbf6eae94ddec4cf5" /><Relationship Type="http://schemas.openxmlformats.org/officeDocument/2006/relationships/worksheet" Target="/xl/worksheets/sheet10.xml" Id="Rc71d6dba82be4373"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4" hidden="0" customWidth="1"/>
    <x:col min="2" max="2" width="24" hidden="0" customWidth="1"/>
    <x:col min="3" max="3" width="21" hidden="0" customWidth="1"/>
    <x:col min="4" max="4" width="21" hidden="0" customWidth="1"/>
    <x:col min="5" max="5" width="21" hidden="0" customWidth="1"/>
    <x:col min="6" max="6" width="21" hidden="0" customWidth="1"/>
    <x:col min="7" max="7" width="22" hidden="0" customWidth="1"/>
    <x:col min="8" max="8" width="4" hidden="0" customWidth="1"/>
  </x:cols>
  <x:sheetData>
    <x:row r="1" ht="28" customHeight="1">
      <x:c r="A1" s="135" t="str">
        <x:v>Kit de pilotage de la facturation SaaS</x:v>
      </x:c>
      <x:c r="B1" s="135"/>
      <x:c r="C1" s="135"/>
      <x:c r="D1" s="135"/>
      <x:c r="E1" s="135"/>
      <x:c r="F1" s="135"/>
      <x:c r="G1" s="135"/>
      <x:c r="H1" s="135"/>
    </x:row>
    <x:row r="2" ht="28" customHeight="1">
      <x:c r="A2" s="135"/>
      <x:c r="B2" s="135"/>
      <x:c r="C2" s="135"/>
      <x:c r="D2" s="135"/>
      <x:c r="E2" s="135"/>
      <x:c r="F2" s="135"/>
      <x:c r="G2" s="135"/>
      <x:c r="H2" s="135"/>
    </x:row>
    <x:row r="3" ht="15" hidden="0" customHeight="1">
      <x:c r="A3" s="8" t="str">
        <x:v>Version 1.1 — 28 juillet 2026 — exemple fictif Planor — outil pédagogique, non comptable, fiscal ou juridique.</x:v>
      </x:c>
      <x:c r="B3" s="8"/>
      <x:c r="C3" s="8"/>
      <x:c r="D3" s="8"/>
      <x:c r="E3" s="8"/>
      <x:c r="F3" s="8"/>
      <x:c r="G3" s="8"/>
      <x:c r="H3" s="8"/>
    </x:row>
    <x:row r="4" ht="15" hidden="0" customHeight="1">
      <x:c r="A4" s="19"/>
      <x:c r="B4" s="19"/>
      <x:c r="C4" s="19"/>
      <x:c r="D4" s="19"/>
      <x:c r="E4" s="19"/>
      <x:c r="F4" s="19"/>
      <x:c r="G4" s="19"/>
      <x:c r="H4" s="19"/>
    </x:row>
    <x:row r="5" ht="15" hidden="0" customHeight="1">
      <x:c r="A5" s="19"/>
      <x:c r="B5" s="136" t="str">
        <x:v>Commencez ici</x:v>
      </x:c>
      <x:c r="C5" s="136"/>
      <x:c r="D5" s="136"/>
      <x:c r="E5" s="136"/>
      <x:c r="F5" s="136"/>
      <x:c r="G5" s="136"/>
      <x:c r="H5" s="19"/>
    </x:row>
    <x:row r="6" ht="56" hidden="0" customHeight="1">
      <x:c r="A6" s="19"/>
      <x:c r="B6" s="16" t="str">
        <x:v>Question de direction</x:v>
      </x:c>
      <x:c r="C6" s="21" t="str">
        <x:v>Pouvez-vous relier une offre acceptée, une facture, un paiement, un droit d’accès et une écriture sans dépendre de la mémoire d’une personne ?</x:v>
      </x:c>
      <x:c r="D6" s="21"/>
      <x:c r="E6" s="21"/>
      <x:c r="F6" s="21"/>
      <x:c r="G6" s="21"/>
      <x:c r="H6" s="19"/>
    </x:row>
    <x:row r="7" ht="26.399999618530273" hidden="0" customHeight="1">
      <x:c r="A7" s="19"/>
      <x:c r="B7" s="16" t="str">
        <x:v>Mode d’emploi</x:v>
      </x:c>
      <x:c r="C7" s="21" t="str">
        <x:v>1. Remplissez REGLES. 2. Remplacez les hypothèses bleues du TCO. 3. Rapprochez un mois. 4. Exécutez les tests prioritaires. 5. Corrigez avant d’automatiser.</x:v>
      </x:c>
      <x:c r="D7" s="21"/>
      <x:c r="E7" s="21"/>
      <x:c r="F7" s="21"/>
      <x:c r="G7" s="21"/>
      <x:c r="H7" s="19"/>
    </x:row>
    <x:row r="8" ht="15" hidden="0" customHeight="1">
      <x:c r="A8" s="19"/>
      <x:c r="B8" s="16" t="str">
        <x:v>Ce que le kit décide</x:v>
      </x:c>
      <x:c r="C8" s="21" t="str">
        <x:v>Il compare un processus manuel, un moteur hébergé, une couche métier et un moteur spécifique sur les mêmes hypothèses.</x:v>
      </x:c>
      <x:c r="D8" s="21"/>
      <x:c r="E8" s="21"/>
      <x:c r="F8" s="21"/>
      <x:c r="G8" s="21"/>
      <x:c r="H8" s="19"/>
    </x:row>
    <x:row r="9" ht="26.399999618530273" hidden="0" customHeight="1">
      <x:c r="A9" s="19"/>
      <x:c r="B9" s="16" t="str">
        <x:v>Ce qu’il ne décide pas</x:v>
      </x:c>
      <x:c r="C9" s="22" t="str">
        <x:v>TVA applicable, conformité d’une facture, reconnaissance du revenu, validité d’un contrat, obligation d’utiliser une plateforme ou politique de suspension d’accès.</x:v>
      </x:c>
      <x:c r="D9" s="22"/>
      <x:c r="E9" s="22"/>
      <x:c r="F9" s="22"/>
      <x:c r="G9" s="22"/>
      <x:c r="H9" s="19"/>
    </x:row>
    <x:row r="10" ht="15" hidden="0" customHeight="1">
      <x:c r="A10" s="19"/>
      <x:c r="B10" s="19"/>
      <x:c r="C10" s="19"/>
      <x:c r="D10" s="19"/>
      <x:c r="E10" s="19"/>
      <x:c r="F10" s="19"/>
      <x:c r="G10" s="19"/>
      <x:c r="H10" s="19"/>
    </x:row>
    <x:row r="11" ht="15" hidden="0" customHeight="1">
      <x:c r="A11" s="19"/>
      <x:c r="B11" s="136" t="str">
        <x:v>Légende</x:v>
      </x:c>
      <x:c r="C11" s="136"/>
      <x:c r="D11" s="136"/>
      <x:c r="E11" s="136"/>
      <x:c r="F11" s="136"/>
      <x:c r="G11" s="136"/>
      <x:c r="H11" s="19"/>
    </x:row>
    <x:row r="12" ht="15" hidden="0" customHeight="1">
      <x:c r="A12" s="19"/>
      <x:c r="B12" s="27" t="str">
        <x:v>BLEU</x:v>
      </x:c>
      <x:c r="C12" s="19" t="str">
        <x:v>Entrée à remplacer</x:v>
      </x:c>
      <x:c r="D12" s="28" t="str">
        <x:v>VERT</x:v>
      </x:c>
      <x:c r="E12" s="19" t="str">
        <x:v>Résultat calculé</x:v>
      </x:c>
      <x:c r="F12" s="29" t="str">
        <x:v>AMBRE</x:v>
      </x:c>
      <x:c r="G12" s="19" t="str">
        <x:v>À confirmer</x:v>
      </x:c>
      <x:c r="H12" s="19"/>
    </x:row>
    <x:row r="13" ht="15" hidden="0" customHeight="1">
      <x:c r="A13" s="19"/>
      <x:c r="B13" s="30" t="str">
        <x:v>ROUGE</x:v>
      </x:c>
      <x:c r="C13" s="19" t="str">
        <x:v>STOP ou contrôle échoué</x:v>
      </x:c>
      <x:c r="D13" s="31" t="str">
        <x:v>GRIS</x:v>
      </x:c>
      <x:c r="E13" s="19" t="str">
        <x:v>Exemple fictif</x:v>
      </x:c>
      <x:c r="F13" s="32" t="str">
        <x:v>URL</x:v>
      </x:c>
      <x:c r="G13" s="19" t="str">
        <x:v>Source à rouvrir</x:v>
      </x:c>
      <x:c r="H13" s="19"/>
    </x:row>
    <x:row r="14" ht="15" hidden="0" customHeight="1">
      <x:c r="A14" s="19"/>
      <x:c r="B14" s="20" t="str">
        <x:v>Règle</x:v>
      </x:c>
      <x:c r="C14" s="20" t="str">
        <x:v>Décision métier</x:v>
      </x:c>
      <x:c r="D14" s="20" t="str">
        <x:v>Preuve</x:v>
      </x:c>
      <x:c r="E14" s="20" t="str">
        <x:v>Trace vérifiable</x:v>
      </x:c>
      <x:c r="F14" s="20" t="str">
        <x:v>Propriétaire</x:v>
      </x:c>
      <x:c r="G14" s="20" t="str">
        <x:v>Personne qui corrige</x:v>
      </x:c>
      <x:c r="H14" s="19"/>
    </x:row>
    <x:row r="15" ht="15" hidden="0" customHeight="1">
      <x:c r="A15" s="19"/>
      <x:c r="B15" s="19"/>
      <x:c r="C15" s="19"/>
      <x:c r="D15" s="19"/>
      <x:c r="E15" s="19"/>
      <x:c r="F15" s="19"/>
      <x:c r="G15" s="19"/>
      <x:c r="H15" s="19"/>
    </x:row>
    <x:row r="16" ht="15" hidden="0" customHeight="1">
      <x:c r="A16" s="19"/>
      <x:c r="B16" s="136" t="str">
        <x:v>État du modèle</x:v>
      </x:c>
      <x:c r="C16" s="136"/>
      <x:c r="D16" s="136"/>
      <x:c r="E16" s="136"/>
      <x:c r="F16" s="136"/>
      <x:c r="G16" s="136"/>
      <x:c r="H16" s="19"/>
    </x:row>
    <x:row r="17" ht="15" hidden="0" customHeight="1">
      <x:c r="A17" s="19"/>
      <x:c r="B17" s="137" t="str">
        <x:v>Statut des contrôles</x:v>
      </x:c>
      <x:c r="C17" s="19"/>
      <x:c r="D17" s="35" t="str">
        <x:f>'CONTROLES'!B4</x:f>
        <x:v>MODEL STATUS: PASS</x:v>
      </x:c>
      <x:c r="E17" s="35"/>
      <x:c r="F17" s="35"/>
      <x:c r="G17" s="35"/>
      <x:c r="H17" s="19"/>
    </x:row>
    <x:row r="18" ht="15" hidden="0" customHeight="1">
      <x:c r="A18" s="19"/>
      <x:c r="B18" s="137" t="str">
        <x:v>Hypothèses</x:v>
      </x:c>
      <x:c r="C18" s="19" t="str">
        <x:v>Fictives et remplaçables</x:v>
      </x:c>
      <x:c r="D18" s="35" t="str">
        <x:v>Utilisez les cellules bleues ; les cellules vertes sont des résultats.</x:v>
      </x:c>
      <x:c r="E18" s="35"/>
      <x:c r="F18" s="35"/>
      <x:c r="G18" s="35"/>
      <x:c r="H18" s="19"/>
    </x:row>
    <x:row r="19" ht="15" hidden="0" customHeight="1">
      <x:c r="A19" s="19"/>
      <x:c r="B19" s="137" t="str">
        <x:v>Données réelles</x:v>
      </x:c>
      <x:c r="C19" s="19" t="str">
        <x:v>Aucune</x:v>
      </x:c>
      <x:c r="D19" s="35" t="str">
        <x:v>L’exemple Planor ne décrit ni client, ni tarif, ni performance réelle.</x:v>
      </x:c>
      <x:c r="E19" s="35"/>
      <x:c r="F19" s="35"/>
      <x:c r="G19" s="35"/>
      <x:c r="H19" s="19"/>
    </x:row>
    <x:row r="20" ht="26.399999618530273" hidden="0" customHeight="1">
      <x:c r="A20" s="19"/>
      <x:c r="B20" s="137" t="str">
        <x:v>Limite de décision</x:v>
      </x:c>
      <x:c r="C20" s="19" t="str">
        <x:v>GO technique ≠ conformité fiscale ou comptable</x:v>
      </x:c>
      <x:c r="D20" s="35" t="str">
        <x:v>Escaladez les cas fiscaux, juridiques et comptables vers le professionnel adapté.</x:v>
      </x:c>
      <x:c r="E20" s="35"/>
      <x:c r="F20" s="35"/>
      <x:c r="G20" s="35"/>
      <x:c r="H20" s="19"/>
    </x:row>
  </x:sheetData>
  <x:mergeCells>
    <x:mergeCell ref="A1:H2"/>
    <x:mergeCell ref="A3:H3"/>
    <x:mergeCell ref="B5:G5"/>
    <x:mergeCell ref="C6:G6"/>
    <x:mergeCell ref="C7:G7"/>
    <x:mergeCell ref="C8:G8"/>
    <x:mergeCell ref="C9:G9"/>
    <x:mergeCell ref="B11:G11"/>
    <x:mergeCell ref="B16:G16"/>
    <x:mergeCell ref="D17:G17"/>
    <x:mergeCell ref="D18:G18"/>
    <x:mergeCell ref="D19:G19"/>
    <x:mergeCell ref="D20:G20"/>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4" hidden="0" customWidth="1"/>
    <x:col min="2" max="2" width="17" hidden="0" customWidth="1"/>
    <x:col min="3" max="3" width="22" hidden="0" customWidth="1"/>
    <x:col min="4" max="4" width="24" hidden="0" customWidth="1"/>
    <x:col min="5" max="5" width="24" hidden="0" customWidth="1"/>
    <x:col min="6" max="6" width="24" hidden="0" customWidth="1"/>
    <x:col min="7" max="7" width="22" hidden="0" customWidth="1"/>
    <x:col min="8" max="8" width="18" hidden="0" customWidth="1"/>
    <x:col min="9" max="9" width="16" hidden="0" customWidth="1"/>
    <x:col min="10" max="10" width="24" hidden="0" customWidth="1"/>
  </x:cols>
  <x:sheetData>
    <x:row r="1" ht="28" customHeight="1">
      <x:c r="A1" s="135" t="str">
        <x:v>Règles commerciales et droits d’accès</x:v>
      </x:c>
      <x:c r="B1" s="135"/>
      <x:c r="C1" s="135"/>
      <x:c r="D1" s="135"/>
      <x:c r="E1" s="135"/>
      <x:c r="F1" s="135"/>
      <x:c r="G1" s="135"/>
      <x:c r="H1" s="135"/>
      <x:c r="I1" s="135"/>
      <x:c r="J1" s="135"/>
    </x:row>
    <x:row r="2" ht="28" customHeight="1">
      <x:c r="A2" s="135"/>
      <x:c r="B2" s="135"/>
      <x:c r="C2" s="135"/>
      <x:c r="D2" s="135"/>
      <x:c r="E2" s="135"/>
      <x:c r="F2" s="135"/>
      <x:c r="G2" s="135"/>
      <x:c r="H2" s="135"/>
      <x:c r="I2" s="135"/>
      <x:c r="J2" s="135"/>
    </x:row>
    <x:row r="3" ht="15" hidden="0" customHeight="1">
      <x:c r="A3" s="8" t="str">
        <x:v>Remplissez une ligne par transition réellement différente. Une cellule vide signifie « non décidé », pas « réglage par défaut accepté ».</x:v>
      </x:c>
      <x:c r="B3" s="8"/>
      <x:c r="C3" s="8"/>
      <x:c r="D3" s="8"/>
      <x:c r="E3" s="8"/>
      <x:c r="F3" s="8"/>
      <x:c r="G3" s="8"/>
      <x:c r="H3" s="8"/>
      <x:c r="I3" s="8"/>
      <x:c r="J3" s="8"/>
    </x:row>
    <x:row r="4" ht="15" hidden="0" customHeight="1">
      <x:c r="A4" s="19"/>
      <x:c r="B4" s="19"/>
      <x:c r="C4" s="19"/>
      <x:c r="D4" s="19"/>
      <x:c r="E4" s="19"/>
      <x:c r="F4" s="19"/>
      <x:c r="G4" s="19"/>
      <x:c r="H4" s="19"/>
      <x:c r="I4" s="19"/>
      <x:c r="J4" s="19"/>
    </x:row>
    <x:row r="5" ht="15" hidden="0" customHeight="1">
      <x:c r="A5" s="19"/>
      <x:c r="B5" s="40" t="str">
        <x:v>ID</x:v>
      </x:c>
      <x:c r="C5" s="40" t="str">
        <x:v>Transition</x:v>
      </x:c>
      <x:c r="D5" s="40" t="str">
        <x:v>Décision métier</x:v>
      </x:c>
      <x:c r="E5" s="40" t="str">
        <x:v>Document / facture</x:v>
      </x:c>
      <x:c r="F5" s="40" t="str">
        <x:v>Paiement</x:v>
      </x:c>
      <x:c r="G5" s="40" t="str">
        <x:v>Droit d’accès</x:v>
      </x:c>
      <x:c r="H5" s="40" t="str">
        <x:v>Propriétaire</x:v>
      </x:c>
      <x:c r="I5" s="40" t="str">
        <x:v>Statut</x:v>
      </x:c>
      <x:c r="J5" s="40" t="str">
        <x:v>Preuve ou question</x:v>
      </x:c>
    </x:row>
    <x:row r="6" ht="26.399999618530273" hidden="0" customHeight="1">
      <x:c r="A6" s="19"/>
      <x:c r="B6" s="21" t="str">
        <x:v>R-01</x:v>
      </x:c>
      <x:c r="C6" s="21" t="str">
        <x:v>Essai sans carte</x:v>
      </x:c>
      <x:c r="D6" s="21" t="str">
        <x:v>Durée et issue à choisir</x:v>
      </x:c>
      <x:c r="E6" s="21" t="str">
        <x:v>Aucun document ou document commercial selon le cas</x:v>
      </x:c>
      <x:c r="F6" s="21" t="str">
        <x:v>Aucun moyen obligatoire</x:v>
      </x:c>
      <x:c r="G6" s="21" t="str">
        <x:v>Limiter, suspendre ou fermer selon règle écrite</x:v>
      </x:c>
      <x:c r="H6" s="21" t="str">
        <x:v>Produit</x:v>
      </x:c>
      <x:c r="I6" s="21" t="str">
        <x:v>À confirmer</x:v>
      </x:c>
      <x:c r="J6" s="21" t="str">
        <x:v>Que voit l’utilisateur au lendemain de l’essai ?</x:v>
      </x:c>
    </x:row>
    <x:row r="7" ht="26.399999618530273" hidden="0" customHeight="1">
      <x:c r="A7" s="19"/>
      <x:c r="B7" s="21" t="str">
        <x:v>R-02</x:v>
      </x:c>
      <x:c r="C7" s="21" t="str">
        <x:v>Souscription mensuelle carte</x:v>
      </x:c>
      <x:c r="D7" s="21" t="str">
        <x:v>Date d’effet et offre acceptée</x:v>
      </x:c>
      <x:c r="E7" s="21" t="str">
        <x:v>Facture reliée à la période</x:v>
      </x:c>
      <x:c r="F7" s="21" t="str">
        <x:v>Événement asynchrone rapproché</x:v>
      </x:c>
      <x:c r="G7" s="21" t="str">
        <x:v>Ouvrir après condition décidée</x:v>
      </x:c>
      <x:c r="H7" s="21" t="str">
        <x:v>Finance + Produit</x:v>
      </x:c>
      <x:c r="I7" s="21" t="str">
        <x:v>À confirmer</x:v>
      </x:c>
      <x:c r="J7" s="21" t="str">
        <x:v>Identifiants communs offre/facture/paiement/droit</x:v>
      </x:c>
    </x:row>
    <x:row r="8" ht="26.399999618530273" hidden="0" customHeight="1">
      <x:c r="A8" s="19"/>
      <x:c r="B8" s="21" t="str">
        <x:v>R-03</x:v>
      </x:c>
      <x:c r="C8" s="21" t="str">
        <x:v>Vente annuelle par virement</x:v>
      </x:c>
      <x:c r="D8" s="21" t="str">
        <x:v>Signature, date d’effet et échéance</x:v>
      </x:c>
      <x:c r="E8" s="21" t="str">
        <x:v>Devis + commande + facture annuelle</x:v>
      </x:c>
      <x:c r="F8" s="21" t="str">
        <x:v>Rapprochement banque/facture</x:v>
      </x:c>
      <x:c r="G8" s="21" t="str">
        <x:v>Ouvrir à la date contractuelle décidée</x:v>
      </x:c>
      <x:c r="H8" s="21" t="str">
        <x:v>Administration des ventes</x:v>
      </x:c>
      <x:c r="I8" s="21" t="str">
        <x:v>À confirmer</x:v>
      </x:c>
      <x:c r="J8" s="21" t="str">
        <x:v>Cas du virement sans référence</x:v>
      </x:c>
    </x:row>
    <x:row r="9" ht="26.399999618530273" hidden="0" customHeight="1">
      <x:c r="A9" s="19"/>
      <x:c r="B9" s="21" t="str">
        <x:v>R-04</x:v>
      </x:c>
      <x:c r="C9" s="21" t="str">
        <x:v>Upgrade en cours de période</x:v>
      </x:c>
      <x:c r="D9" s="21" t="str">
        <x:v>Immédiat ou renouvellement</x:v>
      </x:c>
      <x:c r="E9" s="21" t="str">
        <x:v>Débit/crédit explicable</x:v>
      </x:c>
      <x:c r="F9" s="21" t="str">
        <x:v>Écart testé dans le moteur</x:v>
      </x:c>
      <x:c r="G9" s="21" t="str">
        <x:v>Nouveaux droits à la date décidée</x:v>
      </x:c>
      <x:c r="H9" s="21" t="str">
        <x:v>Produit + Finance</x:v>
      </x:c>
      <x:c r="I9" s="21" t="str">
        <x:v>À confirmer</x:v>
      </x:c>
      <x:c r="J9" s="21" t="str">
        <x:v>Facture précédente impayée ?</x:v>
      </x:c>
    </x:row>
    <x:row r="10" ht="39.599998474121094" hidden="0" customHeight="1">
      <x:c r="A10" s="19"/>
      <x:c r="B10" s="21" t="str">
        <x:v>R-05</x:v>
      </x:c>
      <x:c r="C10" s="21" t="str">
        <x:v>Downgrade</x:v>
      </x:c>
      <x:c r="D10" s="21" t="str">
        <x:v>Immédiat ou prochaine échéance</x:v>
      </x:c>
      <x:c r="E10" s="21" t="str">
        <x:v>Crédit, report ou aucun remboursement selon règle validée</x:v>
      </x:c>
      <x:c r="F10" s="21" t="str">
        <x:v>Aucun remboursement implicite</x:v>
      </x:c>
      <x:c r="G10" s="21" t="str">
        <x:v>Droits réduits à la date décidée</x:v>
      </x:c>
      <x:c r="H10" s="21" t="str">
        <x:v>Produit + Finance</x:v>
      </x:c>
      <x:c r="I10" s="21" t="str">
        <x:v>À confirmer</x:v>
      </x:c>
      <x:c r="J10" s="21" t="str">
        <x:v>Prévenir le client avant perte de fonctions</x:v>
      </x:c>
    </x:row>
    <x:row r="11" ht="26.399999618530273" hidden="0" customHeight="1">
      <x:c r="A11" s="19"/>
      <x:c r="B11" s="21" t="str">
        <x:v>R-06</x:v>
      </x:c>
      <x:c r="C11" s="21" t="str">
        <x:v>Paiement échoué</x:v>
      </x:c>
      <x:c r="D11" s="21" t="str">
        <x:v>Relance, délai et escalade</x:v>
      </x:c>
      <x:c r="E11" s="21" t="str">
        <x:v>Facture reste identifiable</x:v>
      </x:c>
      <x:c r="F11" s="21" t="str">
        <x:v>Tentatives et moyen alternatif</x:v>
      </x:c>
      <x:c r="G11" s="21" t="str">
        <x:v>Ne pas couper sur un signal isolé</x:v>
      </x:c>
      <x:c r="H11" s="21" t="str">
        <x:v>Finance + Support</x:v>
      </x:c>
      <x:c r="I11" s="21" t="str">
        <x:v>À confirmer</x:v>
      </x:c>
      <x:c r="J11" s="21" t="str">
        <x:v>Contrat, litige et virement ne sont pas un refus carte</x:v>
      </x:c>
    </x:row>
    <x:row r="12" ht="26.399999618530273" hidden="0" customHeight="1">
      <x:c r="A12" s="19"/>
      <x:c r="B12" s="21" t="str">
        <x:v>R-07</x:v>
      </x:c>
      <x:c r="C12" s="21" t="str">
        <x:v>Facture contestée</x:v>
      </x:c>
      <x:c r="D12" s="21" t="str">
        <x:v>Responsable et délai de réponse</x:v>
      </x:c>
      <x:c r="E12" s="21" t="str">
        <x:v>Avoir éventuel traçable</x:v>
      </x:c>
      <x:c r="F12" s="21" t="str">
        <x:v>Paiement en attente ou partiel</x:v>
      </x:c>
      <x:c r="G12" s="21" t="str">
        <x:v>Décision explicite pendant le litige</x:v>
      </x:c>
      <x:c r="H12" s="21" t="str">
        <x:v>Finance</x:v>
      </x:c>
      <x:c r="I12" s="21" t="str">
        <x:v>À confirmer</x:v>
      </x:c>
      <x:c r="J12" s="21" t="str">
        <x:v>Motif, montant, preuve et réponse</x:v>
      </x:c>
    </x:row>
    <x:row r="13" ht="26.399999618530273" hidden="0" customHeight="1">
      <x:c r="A13" s="19"/>
      <x:c r="B13" s="21" t="str">
        <x:v>R-08</x:v>
      </x:c>
      <x:c r="C13" s="21" t="str">
        <x:v>Résiliation fin de période</x:v>
      </x:c>
      <x:c r="D13" s="21" t="str">
        <x:v>Date de fin et préavis</x:v>
      </x:c>
      <x:c r="E13" s="21" t="str">
        <x:v>Dernière facture et solde</x:v>
      </x:c>
      <x:c r="F13" s="21" t="str">
        <x:v>Encaissements rapprochés</x:v>
      </x:c>
      <x:c r="G13" s="21" t="str">
        <x:v>Lecture/export/fermeture définis</x:v>
      </x:c>
      <x:c r="H13" s="21" t="str">
        <x:v>Support + Produit</x:v>
      </x:c>
      <x:c r="I13" s="21" t="str">
        <x:v>À confirmer</x:v>
      </x:c>
      <x:c r="J13" s="21" t="str">
        <x:v>Export et conservation des données</x:v>
      </x:c>
    </x:row>
    <x:row r="14" ht="26.399999618530273" hidden="0" customHeight="1">
      <x:c r="A14" s="19"/>
      <x:c r="B14" s="21" t="str">
        <x:v>R-09</x:v>
      </x:c>
      <x:c r="C14" s="21" t="str">
        <x:v>Résiliation immédiate</x:v>
      </x:c>
      <x:c r="D14" s="21" t="str">
        <x:v>Cas permis et autorité</x:v>
      </x:c>
      <x:c r="E14" s="21" t="str">
        <x:v>Avoir/remboursement si applicable</x:v>
      </x:c>
      <x:c r="F14" s="21" t="str">
        <x:v>Remboursement relié à la facture</x:v>
      </x:c>
      <x:c r="G14" s="21" t="str">
        <x:v>Fermeture réversible et journalisée</x:v>
      </x:c>
      <x:c r="H14" s="21" t="str">
        <x:v>Direction</x:v>
      </x:c>
      <x:c r="I14" s="21" t="str">
        <x:v>STOP juridique</x:v>
      </x:c>
      <x:c r="J14" s="21" t="str">
        <x:v>Faire valider contrat et droit applicable</x:v>
      </x:c>
    </x:row>
    <x:row r="15" ht="26.399999618530273" hidden="0" customHeight="1">
      <x:c r="A15" s="19"/>
      <x:c r="B15" s="22" t="str">
        <x:v>R-10</x:v>
      </x:c>
      <x:c r="C15" s="22" t="str">
        <x:v>Tarification à l’usage</x:v>
      </x:c>
      <x:c r="D15" s="22" t="str">
        <x:v>Unité, fenêtre, correction et clôture</x:v>
      </x:c>
      <x:c r="E15" s="22" t="str">
        <x:v>Quantité lisible et contestable</x:v>
      </x:c>
      <x:c r="F15" s="22" t="str">
        <x:v>Encaissement après quantité figée</x:v>
      </x:c>
      <x:c r="G15" s="22" t="str">
        <x:v>Droits indépendants de la mesure brute</x:v>
      </x:c>
      <x:c r="H15" s="22" t="str">
        <x:v>Produit + Finance</x:v>
      </x:c>
      <x:c r="I15" s="22" t="str">
        <x:v>À confirmer</x:v>
      </x:c>
      <x:c r="J15" s="22" t="str">
        <x:v>Mesure tardive ou dupliquée</x:v>
      </x:c>
    </x:row>
  </x:sheetData>
  <x:mergeCells>
    <x:mergeCell ref="A1:J2"/>
    <x:mergeCell ref="A3:J3"/>
  </x:mergeCells>
  <x:conditionalFormatting sqref="I6:I15">
    <x:cfRule type="containsText" dxfId="0" priority="1" operator="containsText" text="STOP"/>
    <x:cfRule type="containsText" dxfId="1" priority="2" operator="containsText" text="Testée"/>
  </x:conditionalFormatting>
  <x:dataValidations count="2">
    <x:dataValidation type="list" sqref="I6:I15">
      <x:formula1>"À confirmer,Décidée,Testée,STOP juridique,STOP fiscal,Hors périmètre"</x:formula1>
    </x:dataValidation>
    <x:dataValidation type="list" sqref="H6:H15">
      <x:formula1>"Direction,Finance,Produit,Support,Technique,Administration des ventes,Expert-comptable,Conseil juridique"</x:formula1>
    </x:dataValidation>
  </x:dataValidations>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4" hidden="0" customWidth="1"/>
    <x:col min="2" max="2" width="26" hidden="0" customWidth="1"/>
    <x:col min="3" max="3" width="15" hidden="0" customWidth="1"/>
    <x:col min="4" max="4" width="16" hidden="0" customWidth="1"/>
    <x:col min="5" max="5" width="16" hidden="0" customWidth="1"/>
    <x:col min="6" max="6" width="30" hidden="0" customWidth="1"/>
    <x:col min="7" max="7" width="17" hidden="0" customWidth="1"/>
    <x:col min="8" max="8" width="17" hidden="0" customWidth="1"/>
    <x:col min="9" max="9" width="17" hidden="0" customWidth="1"/>
    <x:col min="10" max="10" width="19" hidden="0" customWidth="1"/>
  </x:cols>
  <x:sheetData>
    <x:row r="1" ht="28" customHeight="1">
      <x:c r="A1" s="135" t="str">
        <x:v>Comparer quatre architectures sur 24 mois</x:v>
      </x:c>
      <x:c r="B1" s="135"/>
      <x:c r="C1" s="135"/>
      <x:c r="D1" s="135"/>
      <x:c r="E1" s="135"/>
      <x:c r="F1" s="135"/>
      <x:c r="G1" s="135"/>
      <x:c r="H1" s="135"/>
      <x:c r="I1" s="135"/>
      <x:c r="J1" s="135"/>
    </x:row>
    <x:row r="2" ht="28" customHeight="1">
      <x:c r="A2" s="135"/>
      <x:c r="B2" s="135"/>
      <x:c r="C2" s="135"/>
      <x:c r="D2" s="135"/>
      <x:c r="E2" s="135"/>
      <x:c r="F2" s="135"/>
      <x:c r="G2" s="135"/>
      <x:c r="H2" s="135"/>
      <x:c r="I2" s="135"/>
      <x:c r="J2" s="135"/>
    </x:row>
    <x:row r="3" ht="15" hidden="0" customHeight="1">
      <x:c r="A3" s="8" t="str">
        <x:v>Toutes les valeurs bleues sont des hypothèses fictives. Le TCO exclut notamment paiement, taxes, comptabilité, litiges, plateforme agréée, migration, sortie et incidents.</x:v>
      </x:c>
      <x:c r="B3" s="8"/>
      <x:c r="C3" s="8"/>
      <x:c r="D3" s="8"/>
      <x:c r="E3" s="8"/>
      <x:c r="F3" s="8"/>
      <x:c r="G3" s="8"/>
      <x:c r="H3" s="8"/>
      <x:c r="I3" s="8"/>
      <x:c r="J3" s="8"/>
    </x:row>
    <x:row r="4" ht="15" hidden="0" customHeight="1">
      <x:c r="A4" s="19"/>
      <x:c r="B4" s="19"/>
      <x:c r="C4" s="19"/>
      <x:c r="D4" s="19"/>
      <x:c r="E4" s="19"/>
      <x:c r="F4" s="19"/>
      <x:c r="G4" s="19"/>
      <x:c r="H4" s="19"/>
      <x:c r="I4" s="19"/>
      <x:c r="J4" s="19"/>
    </x:row>
    <x:row r="5" ht="15" hidden="0" customHeight="1">
      <x:c r="A5" s="19"/>
      <x:c r="B5" s="138" t="str">
        <x:v>Hypothèses communes</x:v>
      </x:c>
      <x:c r="C5" s="138"/>
      <x:c r="D5" s="138"/>
      <x:c r="E5" s="138"/>
      <x:c r="F5" s="139" t="str">
        <x:v>Résultat central</x:v>
      </x:c>
      <x:c r="G5" s="139"/>
      <x:c r="H5" s="139"/>
      <x:c r="I5" s="139"/>
      <x:c r="J5" s="139"/>
    </x:row>
    <x:row r="6" ht="15" hidden="0" customHeight="1">
      <x:c r="A6" s="19"/>
      <x:c r="B6" s="50" t="str">
        <x:v>Variable</x:v>
      </x:c>
      <x:c r="C6" s="50" t="str">
        <x:v>Valeur</x:v>
      </x:c>
      <x:c r="D6" s="50" t="str">
        <x:v>Unité</x:v>
      </x:c>
      <x:c r="E6" s="19"/>
      <x:c r="F6" s="64" t="str">
        <x:v>Option</x:v>
      </x:c>
      <x:c r="G6" s="64" t="str">
        <x:v>Mise en place</x:v>
      </x:c>
      <x:c r="H6" s="64" t="str">
        <x:v>Récurrent</x:v>
      </x:c>
      <x:c r="I6" s="64" t="str">
        <x:v>Temps + variable</x:v>
      </x:c>
      <x:c r="J6" s="64" t="str">
        <x:v>TCO 24 mois</x:v>
      </x:c>
    </x:row>
    <x:row r="7" ht="15" hidden="0" customHeight="1">
      <x:c r="A7" s="19"/>
      <x:c r="B7" s="19" t="str">
        <x:v>Horizon</x:v>
      </x:c>
      <x:c r="C7" s="140" t="n">
        <x:v>24</x:v>
      </x:c>
      <x:c r="D7" s="19" t="str">
        <x:v>mois</x:v>
      </x:c>
      <x:c r="E7" s="19"/>
      <x:c r="F7" s="19" t="str">
        <x:v>Manuel explicite</x:v>
      </x:c>
      <x:c r="G7" s="100" t="n">
        <x:v>0</x:v>
      </x:c>
      <x:c r="H7" s="100" t="n">
        <x:f>0</x:f>
        <x:v>0</x:v>
      </x:c>
      <x:c r="I7" s="100" t="n">
        <x:f>'TCO_24_MOIS'!$C$7*'TCO_24_MOIS'!$C$10*(2+0.1*'TCO_24_MOIS'!$C$8)</x:f>
        <x:v>12960</x:v>
      </x:c>
      <x:c r="J7" s="105" t="n">
        <x:f>G7+H7+I7</x:f>
        <x:v>12960</x:v>
      </x:c>
    </x:row>
    <x:row r="8" ht="15" hidden="0" customHeight="1">
      <x:c r="A8" s="19"/>
      <x:c r="B8" s="19" t="str">
        <x:v>Clients actifs moyens</x:v>
      </x:c>
      <x:c r="C8" s="140" t="n">
        <x:v>100</x:v>
      </x:c>
      <x:c r="D8" s="19" t="str">
        <x:v>clients</x:v>
      </x:c>
      <x:c r="E8" s="19"/>
      <x:c r="F8" s="19" t="str">
        <x:v>Moteur hébergé</x:v>
      </x:c>
      <x:c r="G8" s="100" t="n">
        <x:v>2800</x:v>
      </x:c>
      <x:c r="H8" s="100" t="n">
        <x:f>150*'TCO_24_MOIS'!$C$7</x:f>
        <x:v>3600</x:v>
      </x:c>
      <x:c r="I8" s="100" t="n">
        <x:f>'TCO_24_MOIS'!$C$7*'TCO_24_MOIS'!$C$10*(1+'TCO_24_MOIS'!$C$8/30)+'TCO_24_MOIS'!$C$7*'TCO_24_MOIS'!$C$8*'TCO_24_MOIS'!$C$9*'TCO_24_MOIS'!$C$11</x:f>
        <x:v>6360.000000000001</x:v>
      </x:c>
      <x:c r="J8" s="105" t="n">
        <x:f>G8+H8+I8</x:f>
        <x:v>12760</x:v>
      </x:c>
    </x:row>
    <x:row r="9" ht="15" hidden="0" customHeight="1">
      <x:c r="A9" s="19"/>
      <x:c r="B9" s="19" t="str">
        <x:v>Panier facturé moyen</x:v>
      </x:c>
      <x:c r="C9" s="140" t="n">
        <x:v>100</x:v>
      </x:c>
      <x:c r="D9" s="19" t="str">
        <x:v>€/client/mois</x:v>
      </x:c>
      <x:c r="E9" s="19"/>
      <x:c r="F9" s="19" t="str">
        <x:v>Hébergé + couche métier</x:v>
      </x:c>
      <x:c r="G9" s="100" t="n">
        <x:v>14000</x:v>
      </x:c>
      <x:c r="H9" s="100" t="n">
        <x:f>700*'TCO_24_MOIS'!$C$7</x:f>
        <x:v>16800</x:v>
      </x:c>
      <x:c r="I9" s="100" t="n">
        <x:f>'TCO_24_MOIS'!$C$7*'TCO_24_MOIS'!$C$10*(0.5+'TCO_24_MOIS'!$C$8/60)+'TCO_24_MOIS'!$C$7*'TCO_24_MOIS'!$C$8*'TCO_24_MOIS'!$C$9*'TCO_24_MOIS'!$C$11</x:f>
        <x:v>4020.0000000000005</x:v>
      </x:c>
      <x:c r="J9" s="105" t="n">
        <x:f>G9+H9+I9</x:f>
        <x:v>34820</x:v>
      </x:c>
    </x:row>
    <x:row r="10" ht="15" hidden="0" customHeight="1">
      <x:c r="A10" s="19"/>
      <x:c r="B10" s="19" t="str">
        <x:v>Coût horaire interne</x:v>
      </x:c>
      <x:c r="C10" s="140" t="n">
        <x:v>45</x:v>
      </x:c>
      <x:c r="D10" s="19" t="str">
        <x:v>€/heure</x:v>
      </x:c>
      <x:c r="E10" s="19"/>
      <x:c r="F10" s="20" t="str">
        <x:v>Moteur spécifique</x:v>
      </x:c>
      <x:c r="G10" s="102" t="n">
        <x:v>60000</x:v>
      </x:c>
      <x:c r="H10" s="102" t="n">
        <x:f>1500*'TCO_24_MOIS'!$C$7</x:f>
        <x:v>36000</x:v>
      </x:c>
      <x:c r="I10" s="102" t="n">
        <x:f>'TCO_24_MOIS'!$C$7*'TCO_24_MOIS'!$C$10*(1+'TCO_24_MOIS'!$C$8/100)</x:f>
        <x:v>2160</x:v>
      </x:c>
      <x:c r="J10" s="106" t="n">
        <x:f>G10+H10+I10</x:f>
        <x:v>98160</x:v>
      </x:c>
    </x:row>
    <x:row r="11" ht="15" hidden="0" customHeight="1">
      <x:c r="A11" s="19"/>
      <x:c r="B11" s="19" t="str">
        <x:v>Frais variables hébergé</x:v>
      </x:c>
      <x:c r="C11" s="141" t="n">
        <x:v>0.007</x:v>
      </x:c>
      <x:c r="D11" s="19" t="str">
        <x:v>% du volume facturé</x:v>
      </x:c>
      <x:c r="E11" s="19"/>
      <x:c r="F11" s="19"/>
      <x:c r="G11" s="19"/>
      <x:c r="H11" s="19"/>
      <x:c r="I11" s="19"/>
      <x:c r="J11" s="19"/>
    </x:row>
    <x:row r="12" ht="15" hidden="0" customHeight="1">
      <x:c r="A12" s="19"/>
      <x:c r="B12" s="20" t="str">
        <x:v>Statut</x:v>
      </x:c>
      <x:c r="C12" s="20" t="str">
        <x:v>Hypothèses fictives</x:v>
      </x:c>
      <x:c r="D12" s="20" t="str">
        <x:v>À remplacer</x:v>
      </x:c>
      <x:c r="E12" s="19"/>
      <x:c r="F12" s="71" t="str">
        <x:v>Le récurrent est affiché sur l’horizon : bases mensuelles fictives 0 €, 150 €, 700 € et 1 500 €, multipliées par le nombre de mois.</x:v>
      </x:c>
      <x:c r="G12" s="71"/>
      <x:c r="H12" s="71"/>
      <x:c r="I12" s="71"/>
      <x:c r="J12" s="71"/>
    </x:row>
    <x:row r="13" ht="15" hidden="0" customHeight="1">
      <x:c r="A13" s="19"/>
      <x:c r="B13" s="19"/>
      <x:c r="C13" s="19"/>
      <x:c r="D13" s="19"/>
      <x:c r="E13" s="19"/>
      <x:c r="F13" s="19"/>
      <x:c r="G13" s="19"/>
      <x:c r="H13" s="19"/>
      <x:c r="I13" s="19"/>
      <x:c r="J13" s="19"/>
    </x:row>
    <x:row r="14" ht="15" hidden="0" customHeight="1">
      <x:c r="A14" s="19"/>
      <x:c r="B14" s="136" t="str">
        <x:v>Même hypothèse, trois volumes</x:v>
      </x:c>
      <x:c r="C14" s="136"/>
      <x:c r="D14" s="136"/>
      <x:c r="E14" s="136"/>
      <x:c r="F14" s="136"/>
      <x:c r="G14" s="136"/>
      <x:c r="H14" s="136"/>
      <x:c r="I14" s="136"/>
      <x:c r="J14" s="136"/>
    </x:row>
    <x:row r="15" ht="15" hidden="0" customHeight="1">
      <x:c r="A15" s="19"/>
      <x:c r="B15" s="40" t="str">
        <x:v>Clients</x:v>
      </x:c>
      <x:c r="C15" s="40" t="str">
        <x:v>Manuel</x:v>
      </x:c>
      <x:c r="D15" s="40" t="str">
        <x:v>Hébergé</x:v>
      </x:c>
      <x:c r="E15" s="40" t="str">
        <x:v>Hébergé + couche</x:v>
      </x:c>
      <x:c r="F15" s="40" t="str">
        <x:v>Spécifique</x:v>
      </x:c>
      <x:c r="G15" s="19"/>
      <x:c r="H15" s="19"/>
      <x:c r="I15" s="19"/>
      <x:c r="J15" s="19"/>
    </x:row>
    <x:row r="16" ht="15" hidden="0" customHeight="1">
      <x:c r="A16" s="19"/>
      <x:c r="B16" s="19" t="n">
        <x:v>10</x:v>
      </x:c>
      <x:c r="C16" s="100" t="n">
        <x:f>'TCO_24_MOIS'!$C$7*'TCO_24_MOIS'!$C$10*(2+0.1*B16)</x:f>
        <x:v>3240</x:v>
      </x:c>
      <x:c r="D16" s="100" t="n">
        <x:f>2800+'TCO_24_MOIS'!$C$7*150+'TCO_24_MOIS'!$C$7*'TCO_24_MOIS'!$C$10*(1+B16/30)+'TCO_24_MOIS'!$C$7*B16*'TCO_24_MOIS'!$C$9*'TCO_24_MOIS'!$C$11</x:f>
        <x:v>8008</x:v>
      </x:c>
      <x:c r="E16" s="100" t="n">
        <x:f>14000+'TCO_24_MOIS'!$C$7*700+'TCO_24_MOIS'!$C$7*'TCO_24_MOIS'!$C$10*(0.5+B16/60)+'TCO_24_MOIS'!$C$7*B16*'TCO_24_MOIS'!$C$9*'TCO_24_MOIS'!$C$11</x:f>
        <x:v>31688</x:v>
      </x:c>
      <x:c r="F16" s="100" t="n">
        <x:f>60000+'TCO_24_MOIS'!$C$7*1500+'TCO_24_MOIS'!$C$7*'TCO_24_MOIS'!$C$10*(1+B16/100)</x:f>
        <x:v>97188</x:v>
      </x:c>
      <x:c r="G16" s="89" t="str">
        <x:v>Lecture : le volume seul ne décide pas. Dix contrats hétérogènes peuvent coûter plus que cinq cents abonnements identiques. Un Merchant of Record n’est pas une cinquième ligne comparable : son rôle contractuel, fiscal et opérationnel doit être qualifié séparément.</x:v>
      </x:c>
      <x:c r="H16" s="89"/>
      <x:c r="I16" s="89"/>
      <x:c r="J16" s="89"/>
    </x:row>
    <x:row r="17" ht="15" hidden="0" customHeight="1">
      <x:c r="A17" s="19"/>
      <x:c r="B17" s="19" t="n">
        <x:v>100</x:v>
      </x:c>
      <x:c r="C17" s="100" t="n">
        <x:f>'TCO_24_MOIS'!$C$7*'TCO_24_MOIS'!$C$10*(2+0.1*B17)</x:f>
        <x:v>12960</x:v>
      </x:c>
      <x:c r="D17" s="100" t="n">
        <x:f>2800+'TCO_24_MOIS'!$C$7*150+'TCO_24_MOIS'!$C$7*'TCO_24_MOIS'!$C$10*(1+B17/30)+'TCO_24_MOIS'!$C$7*B17*'TCO_24_MOIS'!$C$9*'TCO_24_MOIS'!$C$11</x:f>
        <x:v>12760</x:v>
      </x:c>
      <x:c r="E17" s="100" t="n">
        <x:f>14000+'TCO_24_MOIS'!$C$7*700+'TCO_24_MOIS'!$C$7*'TCO_24_MOIS'!$C$10*(0.5+B17/60)+'TCO_24_MOIS'!$C$7*B17*'TCO_24_MOIS'!$C$9*'TCO_24_MOIS'!$C$11</x:f>
        <x:v>34820</x:v>
      </x:c>
      <x:c r="F17" s="100" t="n">
        <x:f>60000+'TCO_24_MOIS'!$C$7*1500+'TCO_24_MOIS'!$C$7*'TCO_24_MOIS'!$C$10*(1+B17/100)</x:f>
        <x:v>98160</x:v>
      </x:c>
      <x:c r="G17" s="89"/>
      <x:c r="H17" s="89"/>
      <x:c r="I17" s="89"/>
      <x:c r="J17" s="89"/>
    </x:row>
    <x:row r="18" ht="15" hidden="0" customHeight="1">
      <x:c r="A18" s="19"/>
      <x:c r="B18" s="20" t="n">
        <x:v>500</x:v>
      </x:c>
      <x:c r="C18" s="102" t="n">
        <x:f>'TCO_24_MOIS'!$C$7*'TCO_24_MOIS'!$C$10*(2+0.1*B18)</x:f>
        <x:v>56160</x:v>
      </x:c>
      <x:c r="D18" s="102" t="n">
        <x:f>2800+'TCO_24_MOIS'!$C$7*150+'TCO_24_MOIS'!$C$7*'TCO_24_MOIS'!$C$10*(1+B18/30)+'TCO_24_MOIS'!$C$7*B18*'TCO_24_MOIS'!$C$9*'TCO_24_MOIS'!$C$11</x:f>
        <x:v>33880</x:v>
      </x:c>
      <x:c r="E18" s="102" t="n">
        <x:f>14000+'TCO_24_MOIS'!$C$7*700+'TCO_24_MOIS'!$C$7*'TCO_24_MOIS'!$C$10*(0.5+B18/60)+'TCO_24_MOIS'!$C$7*B18*'TCO_24_MOIS'!$C$9*'TCO_24_MOIS'!$C$11</x:f>
        <x:v>48740</x:v>
      </x:c>
      <x:c r="F18" s="102" t="n">
        <x:f>60000+'TCO_24_MOIS'!$C$7*1500+'TCO_24_MOIS'!$C$7*'TCO_24_MOIS'!$C$10*(1+B18/100)</x:f>
        <x:v>102480</x:v>
      </x:c>
      <x:c r="G18" s="89"/>
      <x:c r="H18" s="89"/>
      <x:c r="I18" s="89"/>
      <x:c r="J18" s="89"/>
    </x:row>
    <x:row r="19" ht="15" hidden="0" customHeight="1">
      <x:c r="A19" s="19"/>
      <x:c r="B19" s="19"/>
      <x:c r="C19" s="19"/>
      <x:c r="D19" s="19"/>
      <x:c r="E19" s="19"/>
      <x:c r="F19" s="19"/>
      <x:c r="G19" s="19"/>
      <x:c r="H19" s="19"/>
      <x:c r="I19" s="19"/>
      <x:c r="J19" s="19"/>
    </x:row>
    <x:row r="20" ht="15" hidden="0" customHeight="1">
      <x:c r="A20" s="19"/>
      <x:c r="B20" s="136" t="str">
        <x:v>Sensibilité du seuil manuel = hébergé</x:v>
      </x:c>
      <x:c r="C20" s="136"/>
      <x:c r="D20" s="136"/>
      <x:c r="E20" s="136"/>
      <x:c r="F20" s="136"/>
      <x:c r="G20" s="136"/>
      <x:c r="H20" s="136"/>
      <x:c r="I20" s="136"/>
      <x:c r="J20" s="136"/>
    </x:row>
    <x:row r="21" ht="15" hidden="0" customHeight="1">
      <x:c r="A21" s="19"/>
      <x:c r="B21" s="77" t="str">
        <x:v>Coût horaire</x:v>
      </x:c>
      <x:c r="C21" s="77" t="str">
        <x:v>Panier mensuel</x:v>
      </x:c>
      <x:c r="D21" s="77" t="str">
        <x:v>Frais variables</x:v>
      </x:c>
      <x:c r="E21" s="77" t="str">
        <x:v>Seuil théorique</x:v>
      </x:c>
      <x:c r="F21" s="77" t="str">
        <x:v>Lecture</x:v>
      </x:c>
      <x:c r="G21" s="19"/>
      <x:c r="H21" s="19"/>
      <x:c r="I21" s="19"/>
      <x:c r="J21" s="19"/>
    </x:row>
    <x:row r="22" ht="26.399999618530273" hidden="0" customHeight="1">
      <x:c r="A22" s="19"/>
      <x:c r="B22" s="99" t="n">
        <x:v>30</x:v>
      </x:c>
      <x:c r="C22" s="99" t="n">
        <x:v>100</x:v>
      </x:c>
      <x:c r="D22" s="142" t="n">
        <x:v>0.007</x:v>
      </x:c>
      <x:c r="E22" s="143" t="n">
        <x:f>IF(ABS('TCO_24_MOIS'!$C$7*B22*(0.1-1/30)-'TCO_24_MOIS'!$C$7*C22*D22)&lt;0.000000001,"",IF((2800+'TCO_24_MOIS'!$C$7*150-'TCO_24_MOIS'!$C$7*B22)/('TCO_24_MOIS'!$C$7*B22*(0.1-1/30)-'TCO_24_MOIS'!$C$7*C22*D22)&lt;=0,"",(2800+'TCO_24_MOIS'!$C$7*150-'TCO_24_MOIS'!$C$7*B22)/('TCO_24_MOIS'!$C$7*B22*(0.1-1/30)-'TCO_24_MOIS'!$C$7*C22*D22)))</x:f>
        <x:v>182.05128205128202</x:v>
      </x:c>
      <x:c r="F22" s="84" t="str">
        <x:f>IF(ABS('TCO_24_MOIS'!$C$7*B22*(0.1-1/30)-'TCO_24_MOIS'!$C$7*C22*D22)&lt;0.000000001,IF(ABS(2800+'TCO_24_MOIS'!$C$7*150-'TCO_24_MOIS'!$C$7*B22)&lt;0.000000001,"Égalité à tous les volumes","Lignes parallèles ; "&amp;IF('TCO_24_MOIS'!$C$7*B22*2&lt;2800+'TCO_24_MOIS'!$C$7*150+'TCO_24_MOIS'!$C$7*B22,"manuel dominant","hébergé dominant")),IF((2800+'TCO_24_MOIS'!$C$7*150-'TCO_24_MOIS'!$C$7*B22)/('TCO_24_MOIS'!$C$7*B22*(0.1-1/30)-'TCO_24_MOIS'!$C$7*C22*D22)&lt;=0,"Aucun seuil positif ; "&amp;IF('TCO_24_MOIS'!$C$7*B22*2&lt;=2800+'TCO_24_MOIS'!$C$7*150+'TCO_24_MOIS'!$C$7*B22,"manuel dominant","hébergé dominant"),(INT(ROUND((2800+'TCO_24_MOIS'!$C$7*150-'TCO_24_MOIS'!$C$7*B22)/('TCO_24_MOIS'!$C$7*B22*(0.1-1/30)-'TCO_24_MOIS'!$C$7*C22*D22),9))+1)&amp;" clients ; dessous : "&amp;IF('TCO_24_MOIS'!$C$7*B22*2&lt;=2800+'TCO_24_MOIS'!$C$7*150+'TCO_24_MOIS'!$C$7*B22,"manuel","hébergé")&amp;" ; dessus : "&amp;IF('TCO_24_MOIS'!$C$7*B22*2&lt;=2800+'TCO_24_MOIS'!$C$7*150+'TCO_24_MOIS'!$C$7*B22,"hébergé","manuel")))</x:f>
        <x:v>183 clients ; dessous : manuel ; dessus : hébergé</x:v>
      </x:c>
      <x:c r="G22" s="19"/>
      <x:c r="H22" s="19"/>
      <x:c r="I22" s="19"/>
      <x:c r="J22" s="19"/>
    </x:row>
    <x:row r="23" ht="26.399999618530273" hidden="0" customHeight="1">
      <x:c r="A23" s="19"/>
      <x:c r="B23" s="99" t="n">
        <x:v>45</x:v>
      </x:c>
      <x:c r="C23" s="99" t="n">
        <x:v>100</x:v>
      </x:c>
      <x:c r="D23" s="142" t="n">
        <x:v>0.007</x:v>
      </x:c>
      <x:c r="E23" s="143" t="n">
        <x:f>IF(ABS('TCO_24_MOIS'!$C$7*B23*(0.1-1/30)-'TCO_24_MOIS'!$C$7*C23*D23)&lt;0.000000001,"",IF((2800+'TCO_24_MOIS'!$C$7*150-'TCO_24_MOIS'!$C$7*B23)/('TCO_24_MOIS'!$C$7*B23*(0.1-1/30)-'TCO_24_MOIS'!$C$7*C23*D23)&lt;=0,"",(2800+'TCO_24_MOIS'!$C$7*150-'TCO_24_MOIS'!$C$7*B23)/('TCO_24_MOIS'!$C$7*B23*(0.1-1/30)-'TCO_24_MOIS'!$C$7*C23*D23)))</x:f>
        <x:v>96.37681159420286</x:v>
      </x:c>
      <x:c r="F23" s="84" t="str">
        <x:f>IF(ABS('TCO_24_MOIS'!$C$7*B23*(0.1-1/30)-'TCO_24_MOIS'!$C$7*C23*D23)&lt;0.000000001,IF(ABS(2800+'TCO_24_MOIS'!$C$7*150-'TCO_24_MOIS'!$C$7*B23)&lt;0.000000001,"Égalité à tous les volumes","Lignes parallèles ; "&amp;IF('TCO_24_MOIS'!$C$7*B23*2&lt;2800+'TCO_24_MOIS'!$C$7*150+'TCO_24_MOIS'!$C$7*B23,"manuel dominant","hébergé dominant")),IF((2800+'TCO_24_MOIS'!$C$7*150-'TCO_24_MOIS'!$C$7*B23)/('TCO_24_MOIS'!$C$7*B23*(0.1-1/30)-'TCO_24_MOIS'!$C$7*C23*D23)&lt;=0,"Aucun seuil positif ; "&amp;IF('TCO_24_MOIS'!$C$7*B23*2&lt;=2800+'TCO_24_MOIS'!$C$7*150+'TCO_24_MOIS'!$C$7*B23,"manuel dominant","hébergé dominant"),(INT(ROUND((2800+'TCO_24_MOIS'!$C$7*150-'TCO_24_MOIS'!$C$7*B23)/('TCO_24_MOIS'!$C$7*B23*(0.1-1/30)-'TCO_24_MOIS'!$C$7*C23*D23),9))+1)&amp;" clients ; dessous : "&amp;IF('TCO_24_MOIS'!$C$7*B23*2&lt;=2800+'TCO_24_MOIS'!$C$7*150+'TCO_24_MOIS'!$C$7*B23,"manuel","hébergé")&amp;" ; dessus : "&amp;IF('TCO_24_MOIS'!$C$7*B23*2&lt;=2800+'TCO_24_MOIS'!$C$7*150+'TCO_24_MOIS'!$C$7*B23,"hébergé","manuel")))</x:f>
        <x:v>97 clients ; dessous : manuel ; dessus : hébergé</x:v>
      </x:c>
      <x:c r="G23" s="19"/>
      <x:c r="H23" s="19"/>
      <x:c r="I23" s="19"/>
      <x:c r="J23" s="19"/>
    </x:row>
    <x:row r="24" ht="26.399999618530273" hidden="0" customHeight="1">
      <x:c r="A24" s="19"/>
      <x:c r="B24" s="99" t="n">
        <x:v>70</x:v>
      </x:c>
      <x:c r="C24" s="99" t="n">
        <x:v>100</x:v>
      </x:c>
      <x:c r="D24" s="142" t="n">
        <x:v>0.007</x:v>
      </x:c>
      <x:c r="E24" s="143" t="n">
        <x:f>IF(ABS('TCO_24_MOIS'!$C$7*B24*(0.1-1/30)-'TCO_24_MOIS'!$C$7*C24*D24)&lt;0.000000001,"",IF((2800+'TCO_24_MOIS'!$C$7*150-'TCO_24_MOIS'!$C$7*B24)/('TCO_24_MOIS'!$C$7*B24*(0.1-1/30)-'TCO_24_MOIS'!$C$7*C24*D24)&lt;=0,"",(2800+'TCO_24_MOIS'!$C$7*150-'TCO_24_MOIS'!$C$7*B24)/('TCO_24_MOIS'!$C$7*B24*(0.1-1/30)-'TCO_24_MOIS'!$C$7*C24*D24)))</x:f>
        <x:v>49.57983193277309</x:v>
      </x:c>
      <x:c r="F24" s="84" t="str">
        <x:f>IF(ABS('TCO_24_MOIS'!$C$7*B24*(0.1-1/30)-'TCO_24_MOIS'!$C$7*C24*D24)&lt;0.000000001,IF(ABS(2800+'TCO_24_MOIS'!$C$7*150-'TCO_24_MOIS'!$C$7*B24)&lt;0.000000001,"Égalité à tous les volumes","Lignes parallèles ; "&amp;IF('TCO_24_MOIS'!$C$7*B24*2&lt;2800+'TCO_24_MOIS'!$C$7*150+'TCO_24_MOIS'!$C$7*B24,"manuel dominant","hébergé dominant")),IF((2800+'TCO_24_MOIS'!$C$7*150-'TCO_24_MOIS'!$C$7*B24)/('TCO_24_MOIS'!$C$7*B24*(0.1-1/30)-'TCO_24_MOIS'!$C$7*C24*D24)&lt;=0,"Aucun seuil positif ; "&amp;IF('TCO_24_MOIS'!$C$7*B24*2&lt;=2800+'TCO_24_MOIS'!$C$7*150+'TCO_24_MOIS'!$C$7*B24,"manuel dominant","hébergé dominant"),(INT(ROUND((2800+'TCO_24_MOIS'!$C$7*150-'TCO_24_MOIS'!$C$7*B24)/('TCO_24_MOIS'!$C$7*B24*(0.1-1/30)-'TCO_24_MOIS'!$C$7*C24*D24),9))+1)&amp;" clients ; dessous : "&amp;IF('TCO_24_MOIS'!$C$7*B24*2&lt;=2800+'TCO_24_MOIS'!$C$7*150+'TCO_24_MOIS'!$C$7*B24,"manuel","hébergé")&amp;" ; dessus : "&amp;IF('TCO_24_MOIS'!$C$7*B24*2&lt;=2800+'TCO_24_MOIS'!$C$7*150+'TCO_24_MOIS'!$C$7*B24,"hébergé","manuel")))</x:f>
        <x:v>50 clients ; dessous : manuel ; dessus : hébergé</x:v>
      </x:c>
      <x:c r="G24" s="19"/>
      <x:c r="H24" s="19"/>
      <x:c r="I24" s="19"/>
      <x:c r="J24" s="19"/>
    </x:row>
    <x:row r="25" ht="26.399999618530273" hidden="0" customHeight="1">
      <x:c r="A25" s="19"/>
      <x:c r="B25" s="99" t="n">
        <x:v>45</x:v>
      </x:c>
      <x:c r="C25" s="99" t="n">
        <x:v>300</x:v>
      </x:c>
      <x:c r="D25" s="142" t="n">
        <x:v>0.007</x:v>
      </x:c>
      <x:c r="E25" s="143" t="n">
        <x:f>IF(ABS('TCO_24_MOIS'!$C$7*B25*(0.1-1/30)-'TCO_24_MOIS'!$C$7*C25*D25)&lt;0.000000001,"",IF((2800+'TCO_24_MOIS'!$C$7*150-'TCO_24_MOIS'!$C$7*B25)/('TCO_24_MOIS'!$C$7*B25*(0.1-1/30)-'TCO_24_MOIS'!$C$7*C25*D25)&lt;=0,"",(2800+'TCO_24_MOIS'!$C$7*150-'TCO_24_MOIS'!$C$7*B25)/('TCO_24_MOIS'!$C$7*B25*(0.1-1/30)-'TCO_24_MOIS'!$C$7*C25*D25)))</x:f>
        <x:v>246.2962962962961</x:v>
      </x:c>
      <x:c r="F25" s="84" t="str">
        <x:f>IF(ABS('TCO_24_MOIS'!$C$7*B25*(0.1-1/30)-'TCO_24_MOIS'!$C$7*C25*D25)&lt;0.000000001,IF(ABS(2800+'TCO_24_MOIS'!$C$7*150-'TCO_24_MOIS'!$C$7*B25)&lt;0.000000001,"Égalité à tous les volumes","Lignes parallèles ; "&amp;IF('TCO_24_MOIS'!$C$7*B25*2&lt;2800+'TCO_24_MOIS'!$C$7*150+'TCO_24_MOIS'!$C$7*B25,"manuel dominant","hébergé dominant")),IF((2800+'TCO_24_MOIS'!$C$7*150-'TCO_24_MOIS'!$C$7*B25)/('TCO_24_MOIS'!$C$7*B25*(0.1-1/30)-'TCO_24_MOIS'!$C$7*C25*D25)&lt;=0,"Aucun seuil positif ; "&amp;IF('TCO_24_MOIS'!$C$7*B25*2&lt;=2800+'TCO_24_MOIS'!$C$7*150+'TCO_24_MOIS'!$C$7*B25,"manuel dominant","hébergé dominant"),(INT(ROUND((2800+'TCO_24_MOIS'!$C$7*150-'TCO_24_MOIS'!$C$7*B25)/('TCO_24_MOIS'!$C$7*B25*(0.1-1/30)-'TCO_24_MOIS'!$C$7*C25*D25),9))+1)&amp;" clients ; dessous : "&amp;IF('TCO_24_MOIS'!$C$7*B25*2&lt;=2800+'TCO_24_MOIS'!$C$7*150+'TCO_24_MOIS'!$C$7*B25,"manuel","hébergé")&amp;" ; dessus : "&amp;IF('TCO_24_MOIS'!$C$7*B25*2&lt;=2800+'TCO_24_MOIS'!$C$7*150+'TCO_24_MOIS'!$C$7*B25,"hébergé","manuel")))</x:f>
        <x:v>247 clients ; dessous : manuel ; dessus : hébergé</x:v>
      </x:c>
      <x:c r="G25" s="19"/>
      <x:c r="H25" s="19"/>
      <x:c r="I25" s="19"/>
      <x:c r="J25" s="19"/>
    </x:row>
    <x:row r="26" ht="26.399999618530273" hidden="0" customHeight="1">
      <x:c r="A26" s="19"/>
      <x:c r="B26" s="144" t="n">
        <x:v>45</x:v>
      </x:c>
      <x:c r="C26" s="144" t="n">
        <x:v>100</x:v>
      </x:c>
      <x:c r="D26" s="141" t="n">
        <x:v>0</x:v>
      </x:c>
      <x:c r="E26" s="145" t="n">
        <x:f>IF(ABS('TCO_24_MOIS'!$C$7*B26*(0.1-1/30)-'TCO_24_MOIS'!$C$7*C26*D26)&lt;0.000000001,"",IF((2800+'TCO_24_MOIS'!$C$7*150-'TCO_24_MOIS'!$C$7*B26)/('TCO_24_MOIS'!$C$7*B26*(0.1-1/30)-'TCO_24_MOIS'!$C$7*C26*D26)&lt;=0,"",(2800+'TCO_24_MOIS'!$C$7*150-'TCO_24_MOIS'!$C$7*B26)/('TCO_24_MOIS'!$C$7*B26*(0.1-1/30)-'TCO_24_MOIS'!$C$7*C26*D26)))</x:f>
        <x:v>73.88888888888887</x:v>
      </x:c>
      <x:c r="F26" s="86" t="str">
        <x:f>IF(ABS('TCO_24_MOIS'!$C$7*B26*(0.1-1/30)-'TCO_24_MOIS'!$C$7*C26*D26)&lt;0.000000001,IF(ABS(2800+'TCO_24_MOIS'!$C$7*150-'TCO_24_MOIS'!$C$7*B26)&lt;0.000000001,"Égalité à tous les volumes","Lignes parallèles ; "&amp;IF('TCO_24_MOIS'!$C$7*B26*2&lt;2800+'TCO_24_MOIS'!$C$7*150+'TCO_24_MOIS'!$C$7*B26,"manuel dominant","hébergé dominant")),IF((2800+'TCO_24_MOIS'!$C$7*150-'TCO_24_MOIS'!$C$7*B26)/('TCO_24_MOIS'!$C$7*B26*(0.1-1/30)-'TCO_24_MOIS'!$C$7*C26*D26)&lt;=0,"Aucun seuil positif ; "&amp;IF('TCO_24_MOIS'!$C$7*B26*2&lt;=2800+'TCO_24_MOIS'!$C$7*150+'TCO_24_MOIS'!$C$7*B26,"manuel dominant","hébergé dominant"),(INT(ROUND((2800+'TCO_24_MOIS'!$C$7*150-'TCO_24_MOIS'!$C$7*B26)/('TCO_24_MOIS'!$C$7*B26*(0.1-1/30)-'TCO_24_MOIS'!$C$7*C26*D26),9))+1)&amp;" clients ; dessous : "&amp;IF('TCO_24_MOIS'!$C$7*B26*2&lt;=2800+'TCO_24_MOIS'!$C$7*150+'TCO_24_MOIS'!$C$7*B26,"manuel","hébergé")&amp;" ; dessus : "&amp;IF('TCO_24_MOIS'!$C$7*B26*2&lt;=2800+'TCO_24_MOIS'!$C$7*150+'TCO_24_MOIS'!$C$7*B26,"hébergé","manuel")))</x:f>
        <x:v>74 clients ; dessous : manuel ; dessus : hébergé</x:v>
      </x:c>
      <x:c r="G26" s="19"/>
      <x:c r="H26" s="19"/>
      <x:c r="I26" s="19"/>
      <x:c r="J26" s="19"/>
    </x:row>
  </x:sheetData>
  <x:mergeCells>
    <x:mergeCell ref="A1:J2"/>
    <x:mergeCell ref="A3:J3"/>
    <x:mergeCell ref="B5:E5"/>
    <x:mergeCell ref="F5:J5"/>
    <x:mergeCell ref="F12:J12"/>
    <x:mergeCell ref="B14:J14"/>
    <x:mergeCell ref="B20:J20"/>
    <x:mergeCell ref="G16:J18"/>
  </x:mergeCells>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4" hidden="0" customWidth="1"/>
    <x:col min="2" max="2" width="13" hidden="0" customWidth="1"/>
    <x:col min="3" max="3" width="15" hidden="0" customWidth="1"/>
    <x:col min="4" max="4" width="14" hidden="0" customWidth="1"/>
    <x:col min="5" max="5" width="14" hidden="0" customWidth="1"/>
    <x:col min="6" max="6" width="14" hidden="0" customWidth="1"/>
    <x:col min="7" max="7" width="14" hidden="0" customWidth="1"/>
    <x:col min="8" max="8" width="15" hidden="0" customWidth="1"/>
    <x:col min="9" max="9" width="16" hidden="0" customWidth="1"/>
    <x:col min="10" max="10" width="24" hidden="0" customWidth="1"/>
  </x:cols>
  <x:sheetData>
    <x:row r="1" ht="28" customHeight="1">
      <x:c r="A1" s="135" t="str">
        <x:v>MRR Planor — mouvements distincts du cash et du revenu comptable</x:v>
      </x:c>
      <x:c r="B1" s="135"/>
      <x:c r="C1" s="135"/>
      <x:c r="D1" s="135"/>
      <x:c r="E1" s="135"/>
      <x:c r="F1" s="135"/>
      <x:c r="G1" s="135"/>
      <x:c r="H1" s="135"/>
      <x:c r="I1" s="135"/>
      <x:c r="J1" s="135"/>
    </x:row>
    <x:row r="2" ht="28" customHeight="1">
      <x:c r="A2" s="135"/>
      <x:c r="B2" s="135"/>
      <x:c r="C2" s="135"/>
      <x:c r="D2" s="135"/>
      <x:c r="E2" s="135"/>
      <x:c r="F2" s="135"/>
      <x:c r="G2" s="135"/>
      <x:c r="H2" s="135"/>
      <x:c r="I2" s="135"/>
      <x:c r="J2" s="135"/>
    </x:row>
    <x:row r="3" ht="15" hidden="0" customHeight="1">
      <x:c r="A3" s="8" t="str">
        <x:v>Le MRR est une mesure de revenu récurrent contractuel. Il ne remplace ni facture, ni encaissement, ni reconnaissance comptable du revenu.</x:v>
      </x:c>
      <x:c r="B3" s="8"/>
      <x:c r="C3" s="8"/>
      <x:c r="D3" s="8"/>
      <x:c r="E3" s="8"/>
      <x:c r="F3" s="8"/>
      <x:c r="G3" s="8"/>
      <x:c r="H3" s="8"/>
      <x:c r="I3" s="8"/>
      <x:c r="J3" s="8"/>
    </x:row>
    <x:row r="4" ht="15" hidden="0" customHeight="1">
      <x:c r="A4" s="19"/>
      <x:c r="B4" s="19"/>
      <x:c r="C4" s="19"/>
      <x:c r="D4" s="19"/>
      <x:c r="E4" s="19"/>
      <x:c r="F4" s="19"/>
      <x:c r="G4" s="19"/>
      <x:c r="H4" s="19"/>
      <x:c r="I4" s="19"/>
      <x:c r="J4" s="19"/>
    </x:row>
    <x:row r="5" ht="15" hidden="0" customHeight="1">
      <x:c r="A5" s="19"/>
      <x:c r="B5" s="40" t="str">
        <x:v>Mois</x:v>
      </x:c>
      <x:c r="C5" s="40" t="str">
        <x:v>MRR début</x:v>
      </x:c>
      <x:c r="D5" s="40" t="str">
        <x:v>Nouveau MRR</x:v>
      </x:c>
      <x:c r="E5" s="40" t="str">
        <x:v>Expansion</x:v>
      </x:c>
      <x:c r="F5" s="40" t="str">
        <x:v>Contraction</x:v>
      </x:c>
      <x:c r="G5" s="40" t="str">
        <x:v>Churn</x:v>
      </x:c>
      <x:c r="H5" s="40" t="str">
        <x:v>MRR fin</x:v>
      </x:c>
      <x:c r="I5" s="40" t="str">
        <x:v>ARR indicatif</x:v>
      </x:c>
      <x:c r="J5" s="40" t="str">
        <x:v>Contrôle</x:v>
      </x:c>
    </x:row>
    <x:row r="6" ht="15" hidden="0" customHeight="1">
      <x:c r="A6" s="19"/>
      <x:c r="B6" s="19" t="str">
        <x:v>2026-01</x:v>
      </x:c>
      <x:c r="C6" s="100" t="n">
        <x:v>0</x:v>
      </x:c>
      <x:c r="D6" s="99" t="n">
        <x:v>1200</x:v>
      </x:c>
      <x:c r="E6" s="99" t="n">
        <x:v>0</x:v>
      </x:c>
      <x:c r="F6" s="99" t="n">
        <x:v>0</x:v>
      </x:c>
      <x:c r="G6" s="99" t="n">
        <x:v>0</x:v>
      </x:c>
      <x:c r="H6" s="105" t="n">
        <x:f>C6+D6+E6-F6-G6</x:f>
        <x:v>1200</x:v>
      </x:c>
      <x:c r="I6" s="105" t="n">
        <x:f>H6*12</x:f>
        <x:v>14400</x:v>
      </x:c>
      <x:c r="J6" s="19" t="str">
        <x:f>IF(H6=C6+D6+E6-F6-G6,"OK","ÉCART")</x:f>
        <x:v>OK</x:v>
      </x:c>
    </x:row>
    <x:row r="7" ht="15" hidden="0" customHeight="1">
      <x:c r="A7" s="19"/>
      <x:c r="B7" s="19" t="str">
        <x:v>2026-02</x:v>
      </x:c>
      <x:c r="C7" s="100" t="n">
        <x:f>H6</x:f>
        <x:v>1200</x:v>
      </x:c>
      <x:c r="D7" s="99" t="n">
        <x:v>1100</x:v>
      </x:c>
      <x:c r="E7" s="99" t="n">
        <x:v>0</x:v>
      </x:c>
      <x:c r="F7" s="99" t="n">
        <x:v>0</x:v>
      </x:c>
      <x:c r="G7" s="99" t="n">
        <x:v>0</x:v>
      </x:c>
      <x:c r="H7" s="105" t="n">
        <x:f>C7+D7+E7-F7-G7</x:f>
        <x:v>2300</x:v>
      </x:c>
      <x:c r="I7" s="105" t="n">
        <x:f>H7*12</x:f>
        <x:v>27600</x:v>
      </x:c>
      <x:c r="J7" s="19" t="str">
        <x:f>IF(H7=C7+D7+E7-F7-G7,"OK","ÉCART")</x:f>
        <x:v>OK</x:v>
      </x:c>
    </x:row>
    <x:row r="8" ht="15" hidden="0" customHeight="1">
      <x:c r="A8" s="19"/>
      <x:c r="B8" s="19" t="str">
        <x:v>2026-03</x:v>
      </x:c>
      <x:c r="C8" s="100" t="n">
        <x:f>H7</x:f>
        <x:v>2300</x:v>
      </x:c>
      <x:c r="D8" s="99" t="n">
        <x:v>400</x:v>
      </x:c>
      <x:c r="E8" s="99" t="n">
        <x:v>0</x:v>
      </x:c>
      <x:c r="F8" s="99" t="n">
        <x:v>0</x:v>
      </x:c>
      <x:c r="G8" s="99" t="n">
        <x:v>0</x:v>
      </x:c>
      <x:c r="H8" s="105" t="n">
        <x:f>C8+D8+E8-F8-G8</x:f>
        <x:v>2700</x:v>
      </x:c>
      <x:c r="I8" s="105" t="n">
        <x:f>H8*12</x:f>
        <x:v>32400</x:v>
      </x:c>
      <x:c r="J8" s="19" t="str">
        <x:f>IF(H8=C8+D8+E8-F8-G8,"OK","ÉCART")</x:f>
        <x:v>OK</x:v>
      </x:c>
    </x:row>
    <x:row r="9" ht="15" hidden="0" customHeight="1">
      <x:c r="A9" s="19"/>
      <x:c r="B9" s="19" t="str">
        <x:v>2026-04</x:v>
      </x:c>
      <x:c r="C9" s="100" t="n">
        <x:f>H8</x:f>
        <x:v>2700</x:v>
      </x:c>
      <x:c r="D9" s="99" t="n">
        <x:v>200</x:v>
      </x:c>
      <x:c r="E9" s="99" t="n">
        <x:v>100</x:v>
      </x:c>
      <x:c r="F9" s="99" t="n">
        <x:v>0</x:v>
      </x:c>
      <x:c r="G9" s="99" t="n">
        <x:v>0</x:v>
      </x:c>
      <x:c r="H9" s="105" t="n">
        <x:f>C9+D9+E9-F9-G9</x:f>
        <x:v>3000</x:v>
      </x:c>
      <x:c r="I9" s="105" t="n">
        <x:f>H9*12</x:f>
        <x:v>36000</x:v>
      </x:c>
      <x:c r="J9" s="19" t="str">
        <x:f>IF(H9=C9+D9+E9-F9-G9,"OK","ÉCART")</x:f>
        <x:v>OK</x:v>
      </x:c>
    </x:row>
    <x:row r="10" ht="15" hidden="0" customHeight="1">
      <x:c r="A10" s="19"/>
      <x:c r="B10" s="19" t="str">
        <x:v>2026-05</x:v>
      </x:c>
      <x:c r="C10" s="100" t="n">
        <x:f>H9</x:f>
        <x:v>3000</x:v>
      </x:c>
      <x:c r="D10" s="99" t="n">
        <x:v>250</x:v>
      </x:c>
      <x:c r="E10" s="99" t="n">
        <x:v>0</x:v>
      </x:c>
      <x:c r="F10" s="99" t="n">
        <x:v>50</x:v>
      </x:c>
      <x:c r="G10" s="99" t="n">
        <x:v>0</x:v>
      </x:c>
      <x:c r="H10" s="105" t="n">
        <x:f>C10+D10+E10-F10-G10</x:f>
        <x:v>3200</x:v>
      </x:c>
      <x:c r="I10" s="105" t="n">
        <x:f>H10*12</x:f>
        <x:v>38400</x:v>
      </x:c>
      <x:c r="J10" s="19" t="str">
        <x:f>IF(H10=C10+D10+E10-F10-G10,"OK","ÉCART")</x:f>
        <x:v>OK</x:v>
      </x:c>
    </x:row>
    <x:row r="11" ht="15" hidden="0" customHeight="1">
      <x:c r="A11" s="19"/>
      <x:c r="B11" s="19" t="str">
        <x:v>2026-06</x:v>
      </x:c>
      <x:c r="C11" s="100" t="n">
        <x:f>H10</x:f>
        <x:v>3200</x:v>
      </x:c>
      <x:c r="D11" s="99" t="n">
        <x:v>200</x:v>
      </x:c>
      <x:c r="E11" s="99" t="n">
        <x:v>0</x:v>
      </x:c>
      <x:c r="F11" s="99" t="n">
        <x:v>0</x:v>
      </x:c>
      <x:c r="G11" s="99" t="n">
        <x:v>100</x:v>
      </x:c>
      <x:c r="H11" s="105" t="n">
        <x:f>C11+D11+E11-F11-G11</x:f>
        <x:v>3300</x:v>
      </x:c>
      <x:c r="I11" s="105" t="n">
        <x:f>H11*12</x:f>
        <x:v>39600</x:v>
      </x:c>
      <x:c r="J11" s="19" t="str">
        <x:f>IF(H11=C11+D11+E11-F11-G11,"OK","ÉCART")</x:f>
        <x:v>OK</x:v>
      </x:c>
    </x:row>
    <x:row r="12" ht="15" hidden="0" customHeight="1">
      <x:c r="A12" s="19"/>
      <x:c r="B12" s="19" t="str">
        <x:v>2026-07</x:v>
      </x:c>
      <x:c r="C12" s="100" t="n">
        <x:f>H11</x:f>
        <x:v>3300</x:v>
      </x:c>
      <x:c r="D12" s="99" t="n">
        <x:v>0</x:v>
      </x:c>
      <x:c r="E12" s="99" t="n">
        <x:v>100</x:v>
      </x:c>
      <x:c r="F12" s="99" t="n">
        <x:v>0</x:v>
      </x:c>
      <x:c r="G12" s="99" t="n">
        <x:v>0</x:v>
      </x:c>
      <x:c r="H12" s="105" t="n">
        <x:f>C12+D12+E12-F12-G12</x:f>
        <x:v>3400</x:v>
      </x:c>
      <x:c r="I12" s="105" t="n">
        <x:f>H12*12</x:f>
        <x:v>40800</x:v>
      </x:c>
      <x:c r="J12" s="19" t="str">
        <x:f>IF(H12=C12+D12+E12-F12-G12,"OK","ÉCART")</x:f>
        <x:v>OK</x:v>
      </x:c>
    </x:row>
    <x:row r="13" ht="15" hidden="0" customHeight="1">
      <x:c r="A13" s="19"/>
      <x:c r="B13" s="19" t="str">
        <x:v>2026-08</x:v>
      </x:c>
      <x:c r="C13" s="100" t="n">
        <x:f>H12</x:f>
        <x:v>3400</x:v>
      </x:c>
      <x:c r="D13" s="99" t="n">
        <x:v>150</x:v>
      </x:c>
      <x:c r="E13" s="99" t="n">
        <x:v>0</x:v>
      </x:c>
      <x:c r="F13" s="99" t="n">
        <x:v>50</x:v>
      </x:c>
      <x:c r="G13" s="99" t="n">
        <x:v>0</x:v>
      </x:c>
      <x:c r="H13" s="105" t="n">
        <x:f>C13+D13+E13-F13-G13</x:f>
        <x:v>3500</x:v>
      </x:c>
      <x:c r="I13" s="105" t="n">
        <x:f>H13*12</x:f>
        <x:v>42000</x:v>
      </x:c>
      <x:c r="J13" s="19" t="str">
        <x:f>IF(H13=C13+D13+E13-F13-G13,"OK","ÉCART")</x:f>
        <x:v>OK</x:v>
      </x:c>
    </x:row>
    <x:row r="14" ht="15" hidden="0" customHeight="1">
      <x:c r="A14" s="19"/>
      <x:c r="B14" s="19" t="str">
        <x:v>2026-09</x:v>
      </x:c>
      <x:c r="C14" s="100" t="n">
        <x:f>H13</x:f>
        <x:v>3500</x:v>
      </x:c>
      <x:c r="D14" s="99" t="n">
        <x:v>200</x:v>
      </x:c>
      <x:c r="E14" s="99" t="n">
        <x:v>0</x:v>
      </x:c>
      <x:c r="F14" s="99" t="n">
        <x:v>0</x:v>
      </x:c>
      <x:c r="G14" s="99" t="n">
        <x:v>100</x:v>
      </x:c>
      <x:c r="H14" s="105" t="n">
        <x:f>C14+D14+E14-F14-G14</x:f>
        <x:v>3600</x:v>
      </x:c>
      <x:c r="I14" s="105" t="n">
        <x:f>H14*12</x:f>
        <x:v>43200</x:v>
      </x:c>
      <x:c r="J14" s="19" t="str">
        <x:f>IF(H14=C14+D14+E14-F14-G14,"OK","ÉCART")</x:f>
        <x:v>OK</x:v>
      </x:c>
    </x:row>
    <x:row r="15" ht="15" hidden="0" customHeight="1">
      <x:c r="A15" s="19"/>
      <x:c r="B15" s="19" t="str">
        <x:v>2026-10</x:v>
      </x:c>
      <x:c r="C15" s="100" t="n">
        <x:f>H14</x:f>
        <x:v>3600</x:v>
      </x:c>
      <x:c r="D15" s="99" t="n">
        <x:v>0</x:v>
      </x:c>
      <x:c r="E15" s="99" t="n">
        <x:v>100</x:v>
      </x:c>
      <x:c r="F15" s="99" t="n">
        <x:v>0</x:v>
      </x:c>
      <x:c r="G15" s="99" t="n">
        <x:v>0</x:v>
      </x:c>
      <x:c r="H15" s="105" t="n">
        <x:f>C15+D15+E15-F15-G15</x:f>
        <x:v>3700</x:v>
      </x:c>
      <x:c r="I15" s="105" t="n">
        <x:f>H15*12</x:f>
        <x:v>44400</x:v>
      </x:c>
      <x:c r="J15" s="19" t="str">
        <x:f>IF(H15=C15+D15+E15-F15-G15,"OK","ÉCART")</x:f>
        <x:v>OK</x:v>
      </x:c>
    </x:row>
    <x:row r="16" ht="15" hidden="0" customHeight="1">
      <x:c r="A16" s="19"/>
      <x:c r="B16" s="19" t="str">
        <x:v>2026-11</x:v>
      </x:c>
      <x:c r="C16" s="100" t="n">
        <x:f>H15</x:f>
        <x:v>3700</x:v>
      </x:c>
      <x:c r="D16" s="99" t="n">
        <x:v>300</x:v>
      </x:c>
      <x:c r="E16" s="99" t="n">
        <x:v>0</x:v>
      </x:c>
      <x:c r="F16" s="99" t="n">
        <x:v>100</x:v>
      </x:c>
      <x:c r="G16" s="99" t="n">
        <x:v>100</x:v>
      </x:c>
      <x:c r="H16" s="105" t="n">
        <x:f>C16+D16+E16-F16-G16</x:f>
        <x:v>3800</x:v>
      </x:c>
      <x:c r="I16" s="105" t="n">
        <x:f>H16*12</x:f>
        <x:v>45600</x:v>
      </x:c>
      <x:c r="J16" s="19" t="str">
        <x:f>IF(H16=C16+D16+E16-F16-G16,"OK","ÉCART")</x:f>
        <x:v>OK</x:v>
      </x:c>
    </x:row>
    <x:row r="17" ht="15" hidden="0" customHeight="1">
      <x:c r="A17" s="19"/>
      <x:c r="B17" s="20" t="str">
        <x:v>2026-12</x:v>
      </x:c>
      <x:c r="C17" s="102" t="n">
        <x:f>H16</x:f>
        <x:v>3800</x:v>
      </x:c>
      <x:c r="D17" s="101" t="n">
        <x:v>100</x:v>
      </x:c>
      <x:c r="E17" s="101" t="n">
        <x:v>0</x:v>
      </x:c>
      <x:c r="F17" s="101" t="n">
        <x:v>0</x:v>
      </x:c>
      <x:c r="G17" s="101" t="n">
        <x:v>100</x:v>
      </x:c>
      <x:c r="H17" s="106" t="n">
        <x:f>C17+D17+E17-F17-G17</x:f>
        <x:v>3800</x:v>
      </x:c>
      <x:c r="I17" s="106" t="n">
        <x:f>H17*12</x:f>
        <x:v>45600</x:v>
      </x:c>
      <x:c r="J17" s="20" t="str">
        <x:f>IF(H17=C17+D17+E17-F17-G17,"OK","ÉCART")</x:f>
        <x:v>OK</x:v>
      </x:c>
    </x:row>
    <x:row r="18" ht="15" hidden="0" customHeight="1">
      <x:c r="A18" s="19"/>
      <x:c r="B18" s="19"/>
      <x:c r="C18" s="19"/>
      <x:c r="D18" s="19"/>
      <x:c r="E18" s="19"/>
      <x:c r="F18" s="19"/>
      <x:c r="G18" s="19"/>
      <x:c r="H18" s="19"/>
      <x:c r="I18" s="19"/>
      <x:c r="J18" s="19"/>
    </x:row>
    <x:row r="19" ht="15" hidden="0" customHeight="1">
      <x:c r="A19" s="19"/>
      <x:c r="B19" s="136" t="str">
        <x:v>Totaux de contrôle</x:v>
      </x:c>
      <x:c r="C19" s="136"/>
      <x:c r="D19" s="136"/>
      <x:c r="E19" s="136"/>
      <x:c r="F19" s="136"/>
      <x:c r="G19" s="136"/>
      <x:c r="H19" s="136"/>
      <x:c r="I19" s="136"/>
      <x:c r="J19" s="136"/>
    </x:row>
    <x:row r="20" ht="15" hidden="0" customHeight="1">
      <x:c r="A20" s="19"/>
      <x:c r="B20" s="137" t="str">
        <x:v>Nouveau</x:v>
      </x:c>
      <x:c r="C20" s="146" t="n">
        <x:f>SUM(D6:D17)</x:f>
        <x:v>4100</x:v>
      </x:c>
      <x:c r="D20" s="147" t="str">
        <x:v>Expansion</x:v>
      </x:c>
      <x:c r="E20" s="146" t="n">
        <x:f>SUM(E6:E17)</x:f>
        <x:v>300</x:v>
      </x:c>
      <x:c r="F20" s="147" t="str">
        <x:v>Contraction</x:v>
      </x:c>
      <x:c r="G20" s="146" t="n">
        <x:f>SUM(F6:F17)</x:f>
        <x:v>200</x:v>
      </x:c>
      <x:c r="H20" s="98" t="str">
        <x:v>Planor doit aboutir à 3 800 € de MRR : 4 100 € de nouveau MRR + 300 € d’expansion − 200 € de contraction − 400 € de churn.</x:v>
      </x:c>
      <x:c r="I20" s="98"/>
      <x:c r="J20" s="98"/>
    </x:row>
    <x:row r="21" ht="15" hidden="0" customHeight="1">
      <x:c r="A21" s="19"/>
      <x:c r="B21" s="148" t="str">
        <x:v>Churn</x:v>
      </x:c>
      <x:c r="C21" s="149" t="n">
        <x:f>SUM(G6:G17)</x:f>
        <x:v>400</x:v>
      </x:c>
      <x:c r="D21" s="150" t="str">
        <x:v>MRR fin</x:v>
      </x:c>
      <x:c r="E21" s="149" t="n">
        <x:f>H17</x:f>
        <x:v>3800</x:v>
      </x:c>
      <x:c r="F21" s="150" t="str">
        <x:v>ARR indicatif</x:v>
      </x:c>
      <x:c r="G21" s="149" t="n">
        <x:f>I17</x:f>
        <x:v>45600</x:v>
      </x:c>
      <x:c r="H21" s="98"/>
      <x:c r="I21" s="98"/>
      <x:c r="J21" s="98"/>
    </x:row>
  </x:sheetData>
  <x:mergeCells>
    <x:mergeCell ref="A1:J2"/>
    <x:mergeCell ref="A3:J3"/>
    <x:mergeCell ref="B19:J19"/>
    <x:mergeCell ref="H20:J21"/>
  </x:mergeCells>
  <x:conditionalFormatting sqref="J6:J17">
    <x:cfRule type="containsText" dxfId="2" priority="1" operator="containsText" text="ÉCART"/>
  </x:conditionalFormatting>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4" hidden="0" customWidth="1"/>
    <x:col min="2" max="2" width="13" hidden="0" customWidth="1"/>
    <x:col min="3" max="3" width="15" hidden="0" customWidth="1"/>
    <x:col min="4" max="4" width="12" hidden="0" customWidth="1"/>
    <x:col min="5" max="5" width="15" hidden="0" customWidth="1"/>
    <x:col min="6" max="6" width="18" hidden="0" customWidth="1"/>
    <x:col min="7" max="7" width="16" hidden="0" customWidth="1"/>
    <x:col min="8" max="8" width="15" hidden="0" customWidth="1"/>
    <x:col min="9" max="9" width="16" hidden="0" customWidth="1"/>
    <x:col min="10" max="10" width="16" hidden="0" customWidth="1"/>
    <x:col min="11" max="11" width="18" hidden="0" customWidth="1"/>
    <x:col min="12" max="12" width="17" hidden="0" customWidth="1"/>
    <x:col min="13" max="13" width="24" hidden="0" customWidth="1"/>
    <x:col min="14" max="14" width="14" hidden="0" customWidth="1"/>
  </x:cols>
  <x:sheetData>
    <x:row r="1" ht="28" customHeight="1">
      <x:c r="A1" s="135" t="str">
        <x:v>Rapprochement mensuel Planor</x:v>
      </x:c>
      <x:c r="B1" s="135"/>
      <x:c r="C1" s="135"/>
      <x:c r="D1" s="135"/>
      <x:c r="E1" s="135"/>
      <x:c r="F1" s="135"/>
      <x:c r="G1" s="135"/>
      <x:c r="H1" s="135"/>
      <x:c r="I1" s="135"/>
      <x:c r="J1" s="135"/>
      <x:c r="K1" s="135"/>
      <x:c r="L1" s="135"/>
      <x:c r="M1" s="135"/>
      <x:c r="N1" s="135"/>
    </x:row>
    <x:row r="2" ht="28" customHeight="1">
      <x:c r="A2" s="135"/>
      <x:c r="B2" s="135"/>
      <x:c r="C2" s="135"/>
      <x:c r="D2" s="135"/>
      <x:c r="E2" s="135"/>
      <x:c r="F2" s="135"/>
      <x:c r="G2" s="135"/>
      <x:c r="H2" s="135"/>
      <x:c r="I2" s="135"/>
      <x:c r="J2" s="135"/>
      <x:c r="K2" s="135"/>
      <x:c r="L2" s="135"/>
      <x:c r="M2" s="135"/>
      <x:c r="N2" s="135"/>
    </x:row>
    <x:row r="3" ht="15" hidden="0" customHeight="1">
      <x:c r="A3" s="8" t="str">
        <x:v>Paiements et créance finale sont observés indépendamment. Une donnée vide impose À REVOIR ; delta ≥ 0,01 € ou ouverture différente de la clôture observée précédente impose STOP.</x:v>
      </x:c>
      <x:c r="B3" s="8"/>
      <x:c r="C3" s="8"/>
      <x:c r="D3" s="8"/>
      <x:c r="E3" s="8"/>
      <x:c r="F3" s="8"/>
      <x:c r="G3" s="8"/>
      <x:c r="H3" s="8"/>
      <x:c r="I3" s="8"/>
      <x:c r="J3" s="8"/>
      <x:c r="K3" s="8"/>
      <x:c r="L3" s="8"/>
      <x:c r="M3" s="8"/>
      <x:c r="N3" s="8"/>
    </x:row>
    <x:row r="4" ht="15" hidden="0" customHeight="1">
      <x:c r="A4" s="19"/>
      <x:c r="B4" s="19"/>
      <x:c r="C4" s="19"/>
      <x:c r="D4" s="19"/>
      <x:c r="E4" s="19"/>
      <x:c r="F4" s="19"/>
      <x:c r="G4" s="19"/>
      <x:c r="H4" s="19"/>
      <x:c r="I4" s="19"/>
      <x:c r="J4" s="19"/>
      <x:c r="K4" s="19"/>
      <x:c r="L4" s="19"/>
      <x:c r="M4" s="19"/>
      <x:c r="N4" s="19"/>
    </x:row>
    <x:row r="5" ht="21.600000381469727" hidden="0" customHeight="1">
      <x:c r="A5" s="19"/>
      <x:c r="B5" s="40" t="str">
        <x:v>Mois</x:v>
      </x:c>
      <x:c r="C5" s="40" t="str">
        <x:v>Factures brutes</x:v>
      </x:c>
      <x:c r="D5" s="40" t="str">
        <x:v>Avoirs</x:v>
      </x:c>
      <x:c r="E5" s="40" t="str">
        <x:v>Factures nettes</x:v>
      </x:c>
      <x:c r="F5" s="40" t="str">
        <x:v>Paiements affectés observés</x:v>
      </x:c>
      <x:c r="G5" s="40" t="str">
        <x:v>Remboursements</x:v>
      </x:c>
      <x:c r="H5" s="40" t="str">
        <x:v>Cash net</x:v>
      </x:c>
      <x:c r="I5" s="40" t="str">
        <x:v>Créance d’ouverture</x:v>
      </x:c>
      <x:c r="J5" s="40" t="str">
        <x:v>Créance attendue</x:v>
      </x:c>
      <x:c r="K5" s="40" t="str">
        <x:v>Créance finale observée</x:v>
      </x:c>
      <x:c r="L5" s="40" t="str">
        <x:v>Delta observée − attendue</x:v>
      </x:c>
      <x:c r="M5" s="40" t="str">
        <x:v>Droit d’accès</x:v>
      </x:c>
      <x:c r="N5" s="40" t="str">
        <x:v>Statut</x:v>
      </x:c>
    </x:row>
    <x:row r="6" ht="15" hidden="0" customHeight="1">
      <x:c r="A6" s="19"/>
      <x:c r="B6" s="19" t="str">
        <x:v>2026-01</x:v>
      </x:c>
      <x:c r="C6" s="99" t="n">
        <x:v>2200</x:v>
      </x:c>
      <x:c r="D6" s="99" t="n">
        <x:v>0</x:v>
      </x:c>
      <x:c r="E6" s="105" t="n">
        <x:f>IF(COUNT(C6,D6)&lt;2,"",C6-D6)</x:f>
        <x:v>2200</x:v>
      </x:c>
      <x:c r="F6" s="99" t="n">
        <x:v>2200</x:v>
      </x:c>
      <x:c r="G6" s="99" t="n">
        <x:v>0</x:v>
      </x:c>
      <x:c r="H6" s="105" t="n">
        <x:f>IF(COUNT(F6,G6)&lt;2,"",F6-G6)</x:f>
        <x:v>2200</x:v>
      </x:c>
      <x:c r="I6" s="99" t="n">
        <x:v>0</x:v>
      </x:c>
      <x:c r="J6" s="105" t="n">
        <x:f>IF(COUNT(I6,E6,F6,G6)&lt;4,"",I6+E6-F6+G6)</x:f>
        <x:v>0</x:v>
      </x:c>
      <x:c r="K6" s="99" t="n">
        <x:v>0</x:v>
      </x:c>
      <x:c r="L6" s="105" t="n">
        <x:f>IF(COUNT(K6,J6)&lt;2,"",K6-J6)</x:f>
        <x:v>0</x:v>
      </x:c>
      <x:c r="M6" s="19" t="str">
        <x:v>Selon règle commerciale</x:v>
      </x:c>
      <x:c r="N6" s="19" t="str">
        <x:f>IF(COUNT(C6,D6,F6,G6,I6,K6)&lt;6,"À REVOIR",IF(ABS(L6)&gt;=0.01,"STOP","PASS"))</x:f>
        <x:v>PASS</x:v>
      </x:c>
    </x:row>
    <x:row r="7" ht="15" hidden="0" customHeight="1">
      <x:c r="A7" s="19"/>
      <x:c r="B7" s="19" t="str">
        <x:v>2026-02</x:v>
      </x:c>
      <x:c r="C7" s="99" t="n">
        <x:v>2800</x:v>
      </x:c>
      <x:c r="D7" s="99" t="n">
        <x:v>0</x:v>
      </x:c>
      <x:c r="E7" s="105" t="n">
        <x:f>IF(COUNT(C7,D7)&lt;2,"",C7-D7)</x:f>
        <x:v>2800</x:v>
      </x:c>
      <x:c r="F7" s="99" t="n">
        <x:v>2800</x:v>
      </x:c>
      <x:c r="G7" s="99" t="n">
        <x:v>0</x:v>
      </x:c>
      <x:c r="H7" s="105" t="n">
        <x:f>IF(COUNT(F7,G7)&lt;2,"",F7-G7)</x:f>
        <x:v>2800</x:v>
      </x:c>
      <x:c r="I7" s="99" t="n">
        <x:v>0</x:v>
      </x:c>
      <x:c r="J7" s="105" t="n">
        <x:f>IF(COUNT(I7,E7,F7,G7)&lt;4,"",I7+E7-F7+G7)</x:f>
        <x:v>0</x:v>
      </x:c>
      <x:c r="K7" s="99" t="n">
        <x:v>0</x:v>
      </x:c>
      <x:c r="L7" s="105" t="n">
        <x:f>IF(COUNT(K7,J7)&lt;2,"",K7-J7)</x:f>
        <x:v>0</x:v>
      </x:c>
      <x:c r="M7" s="19" t="str">
        <x:v>Selon règle commerciale</x:v>
      </x:c>
      <x:c r="N7" s="19" t="str">
        <x:f>IF(OR(COUNT(C7,D7,F7,G7,I7,K7)&lt;6,COUNT(K6)=0),"À REVOIR",IF(OR(ABS(L7)&gt;=0.01,ABS(I7-K6)&gt;=0.01),"STOP","PASS"))</x:f>
        <x:v>PASS</x:v>
      </x:c>
    </x:row>
    <x:row r="8" ht="15" hidden="0" customHeight="1">
      <x:c r="A8" s="19"/>
      <x:c r="B8" s="19" t="str">
        <x:v>2026-03</x:v>
      </x:c>
      <x:c r="C8" s="99" t="n">
        <x:v>3200</x:v>
      </x:c>
      <x:c r="D8" s="99" t="n">
        <x:v>0</x:v>
      </x:c>
      <x:c r="E8" s="105" t="n">
        <x:f>IF(COUNT(C8,D8)&lt;2,"",C8-D8)</x:f>
        <x:v>3200</x:v>
      </x:c>
      <x:c r="F8" s="99" t="n">
        <x:v>3200</x:v>
      </x:c>
      <x:c r="G8" s="99" t="n">
        <x:v>0</x:v>
      </x:c>
      <x:c r="H8" s="105" t="n">
        <x:f>IF(COUNT(F8,G8)&lt;2,"",F8-G8)</x:f>
        <x:v>3200</x:v>
      </x:c>
      <x:c r="I8" s="99" t="n">
        <x:v>0</x:v>
      </x:c>
      <x:c r="J8" s="105" t="n">
        <x:f>IF(COUNT(I8,E8,F8,G8)&lt;4,"",I8+E8-F8+G8)</x:f>
        <x:v>0</x:v>
      </x:c>
      <x:c r="K8" s="99" t="n">
        <x:v>0</x:v>
      </x:c>
      <x:c r="L8" s="105" t="n">
        <x:f>IF(COUNT(K8,J8)&lt;2,"",K8-J8)</x:f>
        <x:v>0</x:v>
      </x:c>
      <x:c r="M8" s="19" t="str">
        <x:v>Selon règle commerciale</x:v>
      </x:c>
      <x:c r="N8" s="19" t="str">
        <x:f>IF(OR(COUNT(C8,D8,F8,G8,I8,K8)&lt;6,COUNT(K7)=0),"À REVOIR",IF(OR(ABS(L8)&gt;=0.01,ABS(I8-K7)&gt;=0.01),"STOP","PASS"))</x:f>
        <x:v>PASS</x:v>
      </x:c>
    </x:row>
    <x:row r="9" ht="15" hidden="0" customHeight="1">
      <x:c r="A9" s="19"/>
      <x:c r="B9" s="19" t="str">
        <x:v>2026-04</x:v>
      </x:c>
      <x:c r="C9" s="99" t="n">
        <x:v>3500</x:v>
      </x:c>
      <x:c r="D9" s="99" t="n">
        <x:v>0</x:v>
      </x:c>
      <x:c r="E9" s="105" t="n">
        <x:f>IF(COUNT(C9,D9)&lt;2,"",C9-D9)</x:f>
        <x:v>3500</x:v>
      </x:c>
      <x:c r="F9" s="99" t="n">
        <x:v>3500</x:v>
      </x:c>
      <x:c r="G9" s="99" t="n">
        <x:v>0</x:v>
      </x:c>
      <x:c r="H9" s="105" t="n">
        <x:f>IF(COUNT(F9,G9)&lt;2,"",F9-G9)</x:f>
        <x:v>3500</x:v>
      </x:c>
      <x:c r="I9" s="99" t="n">
        <x:v>0</x:v>
      </x:c>
      <x:c r="J9" s="105" t="n">
        <x:f>IF(COUNT(I9,E9,F9,G9)&lt;4,"",I9+E9-F9+G9)</x:f>
        <x:v>0</x:v>
      </x:c>
      <x:c r="K9" s="99" t="n">
        <x:v>0</x:v>
      </x:c>
      <x:c r="L9" s="105" t="n">
        <x:f>IF(COUNT(K9,J9)&lt;2,"",K9-J9)</x:f>
        <x:v>0</x:v>
      </x:c>
      <x:c r="M9" s="19" t="str">
        <x:v>Selon règle commerciale</x:v>
      </x:c>
      <x:c r="N9" s="19" t="str">
        <x:f>IF(OR(COUNT(C9,D9,F9,G9,I9,K9)&lt;6,COUNT(K8)=0),"À REVOIR",IF(OR(ABS(L9)&gt;=0.01,ABS(I9-K8)&gt;=0.01),"STOP","PASS"))</x:f>
        <x:v>PASS</x:v>
      </x:c>
    </x:row>
    <x:row r="10" ht="15" hidden="0" customHeight="1">
      <x:c r="A10" s="19"/>
      <x:c r="B10" s="19" t="str">
        <x:v>2026-05</x:v>
      </x:c>
      <x:c r="C10" s="99" t="n">
        <x:v>3450</x:v>
      </x:c>
      <x:c r="D10" s="99" t="n">
        <x:v>100</x:v>
      </x:c>
      <x:c r="E10" s="105" t="n">
        <x:f>IF(COUNT(C10,D10)&lt;2,"",C10-D10)</x:f>
        <x:v>3350</x:v>
      </x:c>
      <x:c r="F10" s="99" t="n">
        <x:v>3350</x:v>
      </x:c>
      <x:c r="G10" s="99" t="n">
        <x:v>0</x:v>
      </x:c>
      <x:c r="H10" s="105" t="n">
        <x:f>IF(COUNT(F10,G10)&lt;2,"",F10-G10)</x:f>
        <x:v>3350</x:v>
      </x:c>
      <x:c r="I10" s="99" t="n">
        <x:v>0</x:v>
      </x:c>
      <x:c r="J10" s="105" t="n">
        <x:f>IF(COUNT(I10,E10,F10,G10)&lt;4,"",I10+E10-F10+G10)</x:f>
        <x:v>0</x:v>
      </x:c>
      <x:c r="K10" s="99" t="n">
        <x:v>0</x:v>
      </x:c>
      <x:c r="L10" s="105" t="n">
        <x:f>IF(COUNT(K10,J10)&lt;2,"",K10-J10)</x:f>
        <x:v>0</x:v>
      </x:c>
      <x:c r="M10" s="19" t="str">
        <x:v>Selon règle commerciale</x:v>
      </x:c>
      <x:c r="N10" s="19" t="str">
        <x:f>IF(OR(COUNT(C10,D10,F10,G10,I10,K10)&lt;6,COUNT(K9)=0),"À REVOIR",IF(OR(ABS(L10)&gt;=0.01,ABS(I10-K9)&gt;=0.01),"STOP","PASS"))</x:f>
        <x:v>PASS</x:v>
      </x:c>
    </x:row>
    <x:row r="11" ht="15" hidden="0" customHeight="1">
      <x:c r="A11" s="19"/>
      <x:c r="B11" s="19" t="str">
        <x:v>2026-06</x:v>
      </x:c>
      <x:c r="C11" s="99" t="n">
        <x:v>3550</x:v>
      </x:c>
      <x:c r="D11" s="99" t="n">
        <x:v>0</x:v>
      </x:c>
      <x:c r="E11" s="105" t="n">
        <x:f>IF(COUNT(C11,D11)&lt;2,"",C11-D11)</x:f>
        <x:v>3550</x:v>
      </x:c>
      <x:c r="F11" s="99" t="n">
        <x:v>3550</x:v>
      </x:c>
      <x:c r="G11" s="99" t="n">
        <x:v>0</x:v>
      </x:c>
      <x:c r="H11" s="105" t="n">
        <x:f>IF(COUNT(F11,G11)&lt;2,"",F11-G11)</x:f>
        <x:v>3550</x:v>
      </x:c>
      <x:c r="I11" s="99" t="n">
        <x:v>0</x:v>
      </x:c>
      <x:c r="J11" s="105" t="n">
        <x:f>IF(COUNT(I11,E11,F11,G11)&lt;4,"",I11+E11-F11+G11)</x:f>
        <x:v>0</x:v>
      </x:c>
      <x:c r="K11" s="99" t="n">
        <x:v>0</x:v>
      </x:c>
      <x:c r="L11" s="105" t="n">
        <x:f>IF(COUNT(K11,J11)&lt;2,"",K11-J11)</x:f>
        <x:v>0</x:v>
      </x:c>
      <x:c r="M11" s="19" t="str">
        <x:v>Selon règle commerciale</x:v>
      </x:c>
      <x:c r="N11" s="19" t="str">
        <x:f>IF(OR(COUNT(C11,D11,F11,G11,I11,K11)&lt;6,COUNT(K10)=0),"À REVOIR",IF(OR(ABS(L11)&gt;=0.01,ABS(I11-K10)&gt;=0.01),"STOP","PASS"))</x:f>
        <x:v>PASS</x:v>
      </x:c>
    </x:row>
    <x:row r="12" ht="15" hidden="0" customHeight="1">
      <x:c r="A12" s="19"/>
      <x:c r="B12" s="19" t="str">
        <x:v>2026-07</x:v>
      </x:c>
      <x:c r="C12" s="99" t="n">
        <x:v>3650</x:v>
      </x:c>
      <x:c r="D12" s="99" t="n">
        <x:v>0</x:v>
      </x:c>
      <x:c r="E12" s="105" t="n">
        <x:f>IF(COUNT(C12,D12)&lt;2,"",C12-D12)</x:f>
        <x:v>3650</x:v>
      </x:c>
      <x:c r="F12" s="99" t="n">
        <x:v>3650</x:v>
      </x:c>
      <x:c r="G12" s="99" t="n">
        <x:v>0</x:v>
      </x:c>
      <x:c r="H12" s="105" t="n">
        <x:f>IF(COUNT(F12,G12)&lt;2,"",F12-G12)</x:f>
        <x:v>3650</x:v>
      </x:c>
      <x:c r="I12" s="99" t="n">
        <x:v>0</x:v>
      </x:c>
      <x:c r="J12" s="105" t="n">
        <x:f>IF(COUNT(I12,E12,F12,G12)&lt;4,"",I12+E12-F12+G12)</x:f>
        <x:v>0</x:v>
      </x:c>
      <x:c r="K12" s="99" t="n">
        <x:v>0</x:v>
      </x:c>
      <x:c r="L12" s="105" t="n">
        <x:f>IF(COUNT(K12,J12)&lt;2,"",K12-J12)</x:f>
        <x:v>0</x:v>
      </x:c>
      <x:c r="M12" s="19" t="str">
        <x:v>Selon règle commerciale</x:v>
      </x:c>
      <x:c r="N12" s="19" t="str">
        <x:f>IF(OR(COUNT(C12,D12,F12,G12,I12,K12)&lt;6,COUNT(K11)=0),"À REVOIR",IF(OR(ABS(L12)&gt;=0.01,ABS(I12-K11)&gt;=0.01),"STOP","PASS"))</x:f>
        <x:v>PASS</x:v>
      </x:c>
    </x:row>
    <x:row r="13" ht="15" hidden="0" customHeight="1">
      <x:c r="A13" s="19"/>
      <x:c r="B13" s="19" t="str">
        <x:v>2026-08</x:v>
      </x:c>
      <x:c r="C13" s="99" t="n">
        <x:v>3750</x:v>
      </x:c>
      <x:c r="D13" s="99" t="n">
        <x:v>50</x:v>
      </x:c>
      <x:c r="E13" s="105" t="n">
        <x:f>IF(COUNT(C13,D13)&lt;2,"",C13-D13)</x:f>
        <x:v>3700</x:v>
      </x:c>
      <x:c r="F13" s="99" t="n">
        <x:v>3700</x:v>
      </x:c>
      <x:c r="G13" s="99" t="n">
        <x:v>0</x:v>
      </x:c>
      <x:c r="H13" s="105" t="n">
        <x:f>IF(COUNT(F13,G13)&lt;2,"",F13-G13)</x:f>
        <x:v>3700</x:v>
      </x:c>
      <x:c r="I13" s="99" t="n">
        <x:v>0</x:v>
      </x:c>
      <x:c r="J13" s="105" t="n">
        <x:f>IF(COUNT(I13,E13,F13,G13)&lt;4,"",I13+E13-F13+G13)</x:f>
        <x:v>0</x:v>
      </x:c>
      <x:c r="K13" s="99" t="n">
        <x:v>0</x:v>
      </x:c>
      <x:c r="L13" s="105" t="n">
        <x:f>IF(COUNT(K13,J13)&lt;2,"",K13-J13)</x:f>
        <x:v>0</x:v>
      </x:c>
      <x:c r="M13" s="19" t="str">
        <x:v>Selon règle commerciale</x:v>
      </x:c>
      <x:c r="N13" s="19" t="str">
        <x:f>IF(OR(COUNT(C13,D13,F13,G13,I13,K13)&lt;6,COUNT(K12)=0),"À REVOIR",IF(OR(ABS(L13)&gt;=0.01,ABS(I13-K12)&gt;=0.01),"STOP","PASS"))</x:f>
        <x:v>PASS</x:v>
      </x:c>
    </x:row>
    <x:row r="14" ht="15" hidden="0" customHeight="1">
      <x:c r="A14" s="19"/>
      <x:c r="B14" s="19" t="str">
        <x:v>2026-09</x:v>
      </x:c>
      <x:c r="C14" s="99" t="n">
        <x:v>3600</x:v>
      </x:c>
      <x:c r="D14" s="99" t="n">
        <x:v>0</x:v>
      </x:c>
      <x:c r="E14" s="105" t="n">
        <x:f>IF(COUNT(C14,D14)&lt;2,"",C14-D14)</x:f>
        <x:v>3600</x:v>
      </x:c>
      <x:c r="F14" s="99" t="n">
        <x:v>3600</x:v>
      </x:c>
      <x:c r="G14" s="99" t="n">
        <x:v>0</x:v>
      </x:c>
      <x:c r="H14" s="105" t="n">
        <x:f>IF(COUNT(F14,G14)&lt;2,"",F14-G14)</x:f>
        <x:v>3600</x:v>
      </x:c>
      <x:c r="I14" s="99" t="n">
        <x:v>0</x:v>
      </x:c>
      <x:c r="J14" s="105" t="n">
        <x:f>IF(COUNT(I14,E14,F14,G14)&lt;4,"",I14+E14-F14+G14)</x:f>
        <x:v>0</x:v>
      </x:c>
      <x:c r="K14" s="99" t="n">
        <x:v>0</x:v>
      </x:c>
      <x:c r="L14" s="105" t="n">
        <x:f>IF(COUNT(K14,J14)&lt;2,"",K14-J14)</x:f>
        <x:v>0</x:v>
      </x:c>
      <x:c r="M14" s="19" t="str">
        <x:v>Selon règle commerciale</x:v>
      </x:c>
      <x:c r="N14" s="19" t="str">
        <x:f>IF(OR(COUNT(C14,D14,F14,G14,I14,K14)&lt;6,COUNT(K13)=0),"À REVOIR",IF(OR(ABS(L14)&gt;=0.01,ABS(I14-K13)&gt;=0.01),"STOP","PASS"))</x:f>
        <x:v>PASS</x:v>
      </x:c>
    </x:row>
    <x:row r="15" ht="15" hidden="0" customHeight="1">
      <x:c r="A15" s="19"/>
      <x:c r="B15" s="19" t="str">
        <x:v>2026-10</x:v>
      </x:c>
      <x:c r="C15" s="99" t="n">
        <x:v>3700</x:v>
      </x:c>
      <x:c r="D15" s="99" t="n">
        <x:v>0</x:v>
      </x:c>
      <x:c r="E15" s="105" t="n">
        <x:f>IF(COUNT(C15,D15)&lt;2,"",C15-D15)</x:f>
        <x:v>3700</x:v>
      </x:c>
      <x:c r="F15" s="99" t="n">
        <x:v>3700</x:v>
      </x:c>
      <x:c r="G15" s="99" t="n">
        <x:v>0</x:v>
      </x:c>
      <x:c r="H15" s="105" t="n">
        <x:f>IF(COUNT(F15,G15)&lt;2,"",F15-G15)</x:f>
        <x:v>3700</x:v>
      </x:c>
      <x:c r="I15" s="99" t="n">
        <x:v>0</x:v>
      </x:c>
      <x:c r="J15" s="105" t="n">
        <x:f>IF(COUNT(I15,E15,F15,G15)&lt;4,"",I15+E15-F15+G15)</x:f>
        <x:v>0</x:v>
      </x:c>
      <x:c r="K15" s="99" t="n">
        <x:v>0</x:v>
      </x:c>
      <x:c r="L15" s="105" t="n">
        <x:f>IF(COUNT(K15,J15)&lt;2,"",K15-J15)</x:f>
        <x:v>0</x:v>
      </x:c>
      <x:c r="M15" s="19" t="str">
        <x:v>Selon règle commerciale</x:v>
      </x:c>
      <x:c r="N15" s="19" t="str">
        <x:f>IF(OR(COUNT(C15,D15,F15,G15,I15,K15)&lt;6,COUNT(K14)=0),"À REVOIR",IF(OR(ABS(L15)&gt;=0.01,ABS(I15-K14)&gt;=0.01),"STOP","PASS"))</x:f>
        <x:v>PASS</x:v>
      </x:c>
    </x:row>
    <x:row r="16" ht="15" hidden="0" customHeight="1">
      <x:c r="A16" s="19"/>
      <x:c r="B16" s="19" t="str">
        <x:v>2026-11</x:v>
      </x:c>
      <x:c r="C16" s="99" t="n">
        <x:v>3800</x:v>
      </x:c>
      <x:c r="D16" s="99" t="n">
        <x:v>100</x:v>
      </x:c>
      <x:c r="E16" s="105" t="n">
        <x:f>IF(COUNT(C16,D16)&lt;2,"",C16-D16)</x:f>
        <x:v>3700</x:v>
      </x:c>
      <x:c r="F16" s="99" t="n">
        <x:v>3700</x:v>
      </x:c>
      <x:c r="G16" s="99" t="n">
        <x:v>0</x:v>
      </x:c>
      <x:c r="H16" s="105" t="n">
        <x:f>IF(COUNT(F16,G16)&lt;2,"",F16-G16)</x:f>
        <x:v>3700</x:v>
      </x:c>
      <x:c r="I16" s="99" t="n">
        <x:v>0</x:v>
      </x:c>
      <x:c r="J16" s="105" t="n">
        <x:f>IF(COUNT(I16,E16,F16,G16)&lt;4,"",I16+E16-F16+G16)</x:f>
        <x:v>0</x:v>
      </x:c>
      <x:c r="K16" s="99" t="n">
        <x:v>0</x:v>
      </x:c>
      <x:c r="L16" s="105" t="n">
        <x:f>IF(COUNT(K16,J16)&lt;2,"",K16-J16)</x:f>
        <x:v>0</x:v>
      </x:c>
      <x:c r="M16" s="19" t="str">
        <x:v>Selon règle commerciale</x:v>
      </x:c>
      <x:c r="N16" s="19" t="str">
        <x:f>IF(OR(COUNT(C16,D16,F16,G16,I16,K16)&lt;6,COUNT(K15)=0),"À REVOIR",IF(OR(ABS(L16)&gt;=0.01,ABS(I16-K15)&gt;=0.01),"STOP","PASS"))</x:f>
        <x:v>PASS</x:v>
      </x:c>
    </x:row>
    <x:row r="17" ht="26.399999618530273" hidden="0" customHeight="1">
      <x:c r="A17" s="19"/>
      <x:c r="B17" s="20" t="str">
        <x:v>2026-12</x:v>
      </x:c>
      <x:c r="C17" s="101" t="n">
        <x:v>3800</x:v>
      </x:c>
      <x:c r="D17" s="101" t="n">
        <x:v>100</x:v>
      </x:c>
      <x:c r="E17" s="106" t="n">
        <x:f>IF(COUNT(C17,D17)&lt;2,"",C17-D17)</x:f>
        <x:v>3700</x:v>
      </x:c>
      <x:c r="F17" s="101" t="n">
        <x:v>3800</x:v>
      </x:c>
      <x:c r="G17" s="101" t="n">
        <x:v>100</x:v>
      </x:c>
      <x:c r="H17" s="106" t="n">
        <x:f>IF(COUNT(F17,G17)&lt;2,"",F17-G17)</x:f>
        <x:v>3700</x:v>
      </x:c>
      <x:c r="I17" s="101" t="n">
        <x:v>0</x:v>
      </x:c>
      <x:c r="J17" s="106" t="n">
        <x:f>IF(COUNT(I17,E17,F17,G17)&lt;4,"",I17+E17-F17+G17)</x:f>
        <x:v>0</x:v>
      </x:c>
      <x:c r="K17" s="101" t="n">
        <x:v>0</x:v>
      </x:c>
      <x:c r="L17" s="106" t="n">
        <x:f>IF(COUNT(K17,J17)&lt;2,"",K17-J17)</x:f>
        <x:v>0</x:v>
      </x:c>
      <x:c r="M17" s="20" t="str">
        <x:v>Remboursement documenté ; accès selon règle</x:v>
      </x:c>
      <x:c r="N17" s="20" t="str">
        <x:f>IF(OR(COUNT(C17,D17,F17,G17,I17,K17)&lt;6,COUNT(K16)=0),"À REVOIR",IF(OR(ABS(L17)&gt;=0.01,ABS(I17-K16)&gt;=0.01),"STOP","PASS"))</x:f>
        <x:v>PASS</x:v>
      </x:c>
    </x:row>
    <x:row r="18" ht="15" hidden="0" customHeight="1">
      <x:c r="A18" s="19"/>
      <x:c r="B18" s="19"/>
      <x:c r="C18" s="19"/>
      <x:c r="D18" s="19"/>
      <x:c r="E18" s="19"/>
      <x:c r="F18" s="19"/>
      <x:c r="G18" s="19"/>
      <x:c r="H18" s="19"/>
      <x:c r="I18" s="19"/>
      <x:c r="J18" s="19"/>
      <x:c r="K18" s="19"/>
      <x:c r="L18" s="19"/>
      <x:c r="M18" s="19"/>
      <x:c r="N18" s="19"/>
    </x:row>
    <x:row r="19" ht="15" hidden="0" customHeight="1">
      <x:c r="A19" s="19"/>
      <x:c r="B19" s="136" t="str">
        <x:v>Totaux Planor</x:v>
      </x:c>
      <x:c r="C19" s="136"/>
      <x:c r="D19" s="136"/>
      <x:c r="E19" s="136"/>
      <x:c r="F19" s="136"/>
      <x:c r="G19" s="136"/>
      <x:c r="H19" s="136"/>
      <x:c r="I19" s="136"/>
      <x:c r="J19" s="136"/>
      <x:c r="K19" s="136"/>
      <x:c r="L19" s="136"/>
      <x:c r="M19" s="136"/>
      <x:c r="N19" s="136"/>
    </x:row>
    <x:row r="20" ht="38" hidden="0" customHeight="1">
      <x:c r="A20" s="19"/>
      <x:c r="B20" s="31" t="str">
        <x:v>Brut facturé</x:v>
      </x:c>
      <x:c r="C20" s="146" t="n">
        <x:f>SUM(C6:C17)</x:f>
        <x:v>41000</x:v>
      </x:c>
      <x:c r="D20" s="146" t="str">
        <x:v>Avoirs</x:v>
      </x:c>
      <x:c r="E20" s="146" t="n">
        <x:f>SUM(D6:D17)</x:f>
        <x:v>350</x:v>
      </x:c>
      <x:c r="F20" s="146" t="str">
        <x:v>Paiements observés</x:v>
      </x:c>
      <x:c r="G20" s="146" t="n">
        <x:f>SUM(F6:F17)</x:f>
        <x:v>40750</x:v>
      </x:c>
      <x:c r="H20" s="146" t="str">
        <x:v>Remboursements</x:v>
      </x:c>
      <x:c r="I20" s="146" t="n">
        <x:f>SUM(G6:G17)</x:f>
        <x:v>100</x:v>
      </x:c>
      <x:c r="J20" s="146" t="str">
        <x:v>Cash net</x:v>
      </x:c>
      <x:c r="K20" s="146" t="n">
        <x:f>SUM(H6:H17)</x:f>
        <x:v>40650</x:v>
      </x:c>
      <x:c r="L20" s="31" t="str">
        <x:v>Statut annuel</x:v>
      </x:c>
      <x:c r="M20" s="31" t="str">
        <x:f>IF(COUNTIF(N6:N17,"STOP")&gt;0,"STATUT ANNUEL: STOP",IF(COUNTIF(N6:N17,"À REVOIR")&gt;0,"STATUT ANNUEL: À REVOIR","STATUT ANNUEL: PASS"))</x:f>
        <x:v>STATUT ANNUEL: PASS</x:v>
      </x:c>
      <x:c r="N20" s="31"/>
    </x:row>
    <x:row r="21" ht="38" hidden="0" customHeight="1">
      <x:c r="A21" s="19"/>
      <x:c r="B21" s="151" t="str">
        <x:v>Net facturé</x:v>
      </x:c>
      <x:c r="C21" s="149" t="n">
        <x:f>SUM(E6:E17)</x:f>
        <x:v>40650</x:v>
      </x:c>
      <x:c r="D21" s="149" t="str">
        <x:v>Créance d’ouverture</x:v>
      </x:c>
      <x:c r="E21" s="149" t="n">
        <x:f>I6</x:f>
        <x:v>0</x:v>
      </x:c>
      <x:c r="F21" s="149" t="str">
        <x:v>Créance attendue</x:v>
      </x:c>
      <x:c r="G21" s="149" t="n">
        <x:f>E21+C21-G20+I20</x:f>
        <x:v>0</x:v>
      </x:c>
      <x:c r="H21" s="149" t="str">
        <x:v>Créance observée</x:v>
      </x:c>
      <x:c r="I21" s="149" t="n">
        <x:f>K17</x:f>
        <x:v>0</x:v>
      </x:c>
      <x:c r="J21" s="149" t="str">
        <x:v>Delta</x:v>
      </x:c>
      <x:c r="K21" s="149" t="n">
        <x:f>I21-G21</x:f>
        <x:v>0</x:v>
      </x:c>
      <x:c r="L21" s="112" t="str">
        <x:v>Contrôle attendu : 41 000 € bruts − 350 € d’avoirs = 40 650 € nets. Les 40 750 € reçus incluent 100 € ensuite remboursés : cash net 40 650 € et créance nulle. Chaque ouverture doit reprendre la clôture observée précédente ; le droit d’accès reste séparé.</x:v>
      </x:c>
      <x:c r="M21" s="112"/>
      <x:c r="N21" s="112"/>
    </x:row>
    <x:row r="22" ht="38" hidden="0" customHeight="1">
      <x:c r="A22" s="19"/>
      <x:c r="B22" s="19"/>
      <x:c r="C22" s="19"/>
      <x:c r="D22" s="19"/>
      <x:c r="E22" s="19"/>
      <x:c r="F22" s="19"/>
      <x:c r="G22" s="19"/>
      <x:c r="H22" s="19"/>
      <x:c r="I22" s="19"/>
      <x:c r="J22" s="19"/>
      <x:c r="K22" s="19"/>
      <x:c r="L22" s="113"/>
      <x:c r="M22" s="113"/>
      <x:c r="N22" s="113"/>
    </x:row>
    <x:row r="23" ht="15" hidden="0" customHeight="1">
      <x:c r="A23" s="19"/>
      <x:c r="B23" s="136" t="str">
        <x:v>Pont entre MRR et factures brutes</x:v>
      </x:c>
      <x:c r="C23" s="136"/>
      <x:c r="D23" s="136"/>
      <x:c r="E23" s="136"/>
      <x:c r="F23" s="136"/>
      <x:c r="G23" s="136"/>
      <x:c r="H23" s="136"/>
      <x:c r="I23" s="136"/>
      <x:c r="J23" s="136"/>
      <x:c r="K23" s="136"/>
      <x:c r="L23" s="136"/>
      <x:c r="M23" s="136"/>
      <x:c r="N23" s="136"/>
    </x:row>
    <x:row r="24" ht="30" hidden="0" customHeight="1">
      <x:c r="A24" s="19"/>
      <x:c r="B24" s="19" t="str">
        <x:v>Somme des MRR mensuels</x:v>
      </x:c>
      <x:c r="C24" s="106" t="n">
        <x:f>SUM('MRR'!H6:H17)</x:f>
        <x:v>37500</x:v>
      </x:c>
      <x:c r="D24" s="100" t="str">
        <x:v>Mise en route + usage ponctuel</x:v>
      </x:c>
      <x:c r="E24" s="144" t="n">
        <x:v>3500</x:v>
      </x:c>
      <x:c r="F24" s="100" t="str">
        <x:v>Factures brutes réconciliées</x:v>
      </x:c>
      <x:c r="G24" s="106" t="n">
        <x:f>C24+E24</x:f>
        <x:v>41000</x:v>
      </x:c>
      <x:c r="H24" s="115" t="str">
        <x:v>Hypothèse Planor : facturation mensuelle du récurrent, plus 3 500 € de mise en route et d’usage ponctuel. Un contrat annuel payé d’avance exigerait un échéancier de facture et de cash distinct.</x:v>
      </x:c>
      <x:c r="I24" s="115"/>
      <x:c r="J24" s="115"/>
      <x:c r="K24" s="115"/>
      <x:c r="L24" s="115"/>
      <x:c r="M24" s="115"/>
      <x:c r="N24" s="115"/>
    </x:row>
    <x:row r="25" ht="30" hidden="0" customHeight="1">
      <x:c r="A25" s="19"/>
      <x:c r="B25" s="19"/>
      <x:c r="C25" s="19"/>
      <x:c r="D25" s="19"/>
      <x:c r="E25" s="19"/>
      <x:c r="F25" s="19"/>
      <x:c r="G25" s="19"/>
      <x:c r="H25" s="115"/>
      <x:c r="I25" s="115"/>
      <x:c r="J25" s="115"/>
      <x:c r="K25" s="115"/>
      <x:c r="L25" s="115"/>
      <x:c r="M25" s="115"/>
      <x:c r="N25" s="115"/>
    </x:row>
  </x:sheetData>
  <x:mergeCells>
    <x:mergeCell ref="A1:N2"/>
    <x:mergeCell ref="A3:N3"/>
    <x:mergeCell ref="B19:N19"/>
    <x:mergeCell ref="M20:N20"/>
    <x:mergeCell ref="L21:N22"/>
    <x:mergeCell ref="B23:N23"/>
    <x:mergeCell ref="H24:N25"/>
  </x:mergeCells>
  <x:conditionalFormatting sqref="N6:N17">
    <x:cfRule type="containsText" dxfId="3" priority="1" operator="containsText" text="STOP"/>
    <x:cfRule type="containsText" dxfId="4" priority="2" operator="containsText" text="À REVOIR"/>
    <x:cfRule type="containsText" dxfId="5" priority="3" operator="containsText" text="PASS"/>
  </x:conditionalFormatting>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RowHeight="15"/>
  <x:cols>
    <x:col min="1" max="1" width="4" hidden="0" customWidth="1"/>
    <x:col min="2" max="2" width="28" hidden="0" customWidth="1"/>
    <x:col min="3" max="3" width="16" hidden="0" customWidth="1"/>
    <x:col min="4" max="4" width="16" hidden="0" customWidth="1"/>
    <x:col min="5" max="5" width="16" hidden="0" customWidth="1"/>
    <x:col min="6" max="6" width="18" hidden="0" customWidth="1"/>
    <x:col min="7" max="7" width="18" hidden="0" customWidth="1"/>
    <x:col min="8" max="8" width="4" hidden="0" customWidth="1"/>
  </x:cols>
  <x:sheetData>
    <x:row r="1" ht="28" customHeight="1">
      <x:c r="A1" s="135" t="str">
        <x:v>Relances après paiement échoué</x:v>
      </x:c>
      <x:c r="B1" s="135"/>
      <x:c r="C1" s="135"/>
      <x:c r="D1" s="135"/>
      <x:c r="E1" s="135"/>
      <x:c r="F1" s="135"/>
      <x:c r="G1" s="135"/>
      <x:c r="H1" s="135"/>
    </x:row>
    <x:row r="2" ht="28" customHeight="1">
      <x:c r="A2" s="135"/>
      <x:c r="B2" s="135"/>
      <x:c r="C2" s="135"/>
      <x:c r="D2" s="135"/>
      <x:c r="E2" s="135"/>
      <x:c r="F2" s="135"/>
      <x:c r="G2" s="135"/>
      <x:c r="H2" s="135"/>
    </x:row>
    <x:row r="3" ht="15" hidden="0" customHeight="1">
      <x:c r="A3" s="8" t="str">
        <x:v>Les taux sont fictifs. Mesurez votre taux d’échec et votre récupération ; ne recopiez pas un benchmark vendeur.</x:v>
      </x:c>
      <x:c r="B3" s="8"/>
      <x:c r="C3" s="8"/>
      <x:c r="D3" s="8"/>
      <x:c r="E3" s="8"/>
      <x:c r="F3" s="8"/>
      <x:c r="G3" s="8"/>
      <x:c r="H3" s="8"/>
    </x:row>
    <x:row r="4" ht="15" hidden="0" customHeight="1">
      <x:c r="A4" s="19"/>
      <x:c r="B4" s="19"/>
      <x:c r="C4" s="19"/>
      <x:c r="D4" s="19"/>
      <x:c r="E4" s="19"/>
      <x:c r="F4" s="19"/>
      <x:c r="G4" s="19"/>
      <x:c r="H4" s="19"/>
    </x:row>
    <x:row r="5" ht="15" hidden="0" customHeight="1">
      <x:c r="A5" s="19"/>
      <x:c r="B5" s="136" t="str">
        <x:v>Hypothèses</x:v>
      </x:c>
      <x:c r="C5" s="136"/>
      <x:c r="D5" s="136"/>
      <x:c r="E5" s="136"/>
      <x:c r="F5" s="136"/>
      <x:c r="G5" s="19"/>
      <x:c r="H5" s="19"/>
    </x:row>
    <x:row r="6" ht="15" hidden="0" customHeight="1">
      <x:c r="A6" s="19"/>
      <x:c r="B6" s="19" t="str">
        <x:v>MRR facturable</x:v>
      </x:c>
      <x:c r="C6" s="99" t="n">
        <x:v>20000</x:v>
      </x:c>
      <x:c r="D6" s="19" t="str">
        <x:v>€ / mois</x:v>
      </x:c>
      <x:c r="E6" s="19"/>
      <x:c r="F6" s="19"/>
      <x:c r="G6" s="19"/>
      <x:c r="H6" s="19"/>
    </x:row>
    <x:row r="7" ht="15" hidden="0" customHeight="1">
      <x:c r="A7" s="19"/>
      <x:c r="B7" s="19" t="str">
        <x:v>Échec au premier passage</x:v>
      </x:c>
      <x:c r="C7" s="141" t="n">
        <x:v>0.03</x:v>
      </x:c>
      <x:c r="D7" s="19" t="str">
        <x:v>%</x:v>
      </x:c>
      <x:c r="E7" s="19"/>
      <x:c r="F7" s="19"/>
      <x:c r="G7" s="19"/>
      <x:c r="H7" s="19"/>
    </x:row>
    <x:row r="8" ht="15" hidden="0" customHeight="1">
      <x:c r="A8" s="19"/>
      <x:c r="B8" s="19" t="str">
        <x:v>Montant échoué</x:v>
      </x:c>
      <x:c r="C8" s="106" t="n">
        <x:f>C6*C7</x:f>
        <x:v>600</x:v>
      </x:c>
      <x:c r="D8" s="19" t="str">
        <x:v>Calculé</x:v>
      </x:c>
      <x:c r="E8" s="19"/>
      <x:c r="F8" s="19"/>
      <x:c r="G8" s="19"/>
      <x:c r="H8" s="19"/>
    </x:row>
    <x:row r="9" ht="15" hidden="0" customHeight="1">
      <x:c r="A9" s="19"/>
      <x:c r="B9" s="19"/>
      <x:c r="C9" s="19"/>
      <x:c r="D9" s="19"/>
      <x:c r="E9" s="19"/>
      <x:c r="F9" s="19"/>
      <x:c r="G9" s="19"/>
      <x:c r="H9" s="19"/>
    </x:row>
    <x:row r="10" ht="15" hidden="0" customHeight="1">
      <x:c r="A10" s="19"/>
      <x:c r="B10" s="136" t="str">
        <x:v>Trois hypothèses de récupération</x:v>
      </x:c>
      <x:c r="C10" s="136"/>
      <x:c r="D10" s="136"/>
      <x:c r="E10" s="136"/>
      <x:c r="F10" s="136"/>
      <x:c r="G10" s="19"/>
      <x:c r="H10" s="19"/>
    </x:row>
    <x:row r="11" ht="15" hidden="0" customHeight="1">
      <x:c r="A11" s="19"/>
      <x:c r="B11" s="40" t="str">
        <x:v>Scénario</x:v>
      </x:c>
      <x:c r="C11" s="40" t="str">
        <x:v>Taux récupéré</x:v>
      </x:c>
      <x:c r="D11" s="40" t="str">
        <x:v>Montant récupéré</x:v>
      </x:c>
      <x:c r="E11" s="40" t="str">
        <x:v>Reste non récupéré</x:v>
      </x:c>
      <x:c r="F11" s="40" t="str">
        <x:v>Décision</x:v>
      </x:c>
      <x:c r="G11" s="19"/>
      <x:c r="H11" s="19"/>
    </x:row>
    <x:row r="12" ht="26.399999618530273" hidden="0" customHeight="1">
      <x:c r="A12" s="19"/>
      <x:c r="B12" s="19" t="str">
        <x:v>Prudent</x:v>
      </x:c>
      <x:c r="C12" s="142" t="n">
        <x:v>0.3</x:v>
      </x:c>
      <x:c r="D12" s="105" t="n">
        <x:f>$C$8*C12</x:f>
        <x:v>180</x:v>
      </x:c>
      <x:c r="E12" s="105" t="n">
        <x:f>$C$8-D12</x:f>
        <x:v>420</x:v>
      </x:c>
      <x:c r="F12" s="19" t="str">
        <x:v>Mesurer le coût de relance</x:v>
      </x:c>
      <x:c r="G12" s="19"/>
      <x:c r="H12" s="19"/>
    </x:row>
    <x:row r="13" ht="26.399999618530273" hidden="0" customHeight="1">
      <x:c r="A13" s="19"/>
      <x:c r="B13" s="19" t="str">
        <x:v>Central</x:v>
      </x:c>
      <x:c r="C13" s="142" t="n">
        <x:v>0.6</x:v>
      </x:c>
      <x:c r="D13" s="105" t="n">
        <x:f>$C$8*C13</x:f>
        <x:v>360</x:v>
      </x:c>
      <x:c r="E13" s="105" t="n">
        <x:f>$C$8-D13</x:f>
        <x:v>240</x:v>
      </x:c>
      <x:c r="F13" s="19" t="str">
        <x:v>Comparer au processus actuel</x:v>
      </x:c>
      <x:c r="G13" s="19"/>
      <x:c r="H13" s="19"/>
    </x:row>
    <x:row r="14" ht="26.399999618530273" hidden="0" customHeight="1">
      <x:c r="A14" s="19"/>
      <x:c r="B14" s="20" t="str">
        <x:v>Haut</x:v>
      </x:c>
      <x:c r="C14" s="152" t="n">
        <x:v>0.8</x:v>
      </x:c>
      <x:c r="D14" s="106" t="n">
        <x:f>$C$8*C14</x:f>
        <x:v>480</x:v>
      </x:c>
      <x:c r="E14" s="106" t="n">
        <x:f>$C$8-D14</x:f>
        <x:v>120</x:v>
      </x:c>
      <x:c r="F14" s="20" t="str">
        <x:v>Vérifier support, churn et marge</x:v>
      </x:c>
      <x:c r="G14" s="19"/>
      <x:c r="H14" s="19"/>
    </x:row>
    <x:row r="15" ht="15" hidden="0" customHeight="1">
      <x:c r="A15" s="19"/>
      <x:c r="B15" s="19"/>
      <x:c r="C15" s="19"/>
      <x:c r="D15" s="19"/>
      <x:c r="E15" s="19"/>
      <x:c r="F15" s="19"/>
      <x:c r="G15" s="19"/>
      <x:c r="H15" s="19"/>
    </x:row>
    <x:row r="16" ht="15" hidden="0" customHeight="1">
      <x:c r="A16" s="19"/>
      <x:c r="B16" s="136" t="str">
        <x:v>Lecture</x:v>
      </x:c>
      <x:c r="C16" s="136"/>
      <x:c r="D16" s="136"/>
      <x:c r="E16" s="136"/>
      <x:c r="F16" s="136"/>
      <x:c r="G16" s="19"/>
      <x:c r="H16" s="19"/>
    </x:row>
    <x:row r="17" ht="15" hidden="0" customHeight="1">
      <x:c r="A17" s="19"/>
      <x:c r="B17" s="115" t="str">
        <x:v>Passer fictivement de 30 % à 60 % de récupération représente 180 € de plus par mois, soit 2 160 € par an. Ce n’est ni une marge pure, ni une promesse de gain, ni une preuve de satisfaction. Si aucun paiement n’échoue ou si le processus manuel récupère déjà tout, l’automatisation n’ajoute pas ce revenu.</x:v>
      </x:c>
      <x:c r="C17" s="115"/>
      <x:c r="D17" s="115"/>
      <x:c r="E17" s="115"/>
      <x:c r="F17" s="115"/>
      <x:c r="G17" s="19"/>
      <x:c r="H17" s="19"/>
    </x:row>
    <x:row r="18" ht="15" hidden="0" customHeight="1">
      <x:c r="A18" s="19"/>
      <x:c r="B18" s="115"/>
      <x:c r="C18" s="115"/>
      <x:c r="D18" s="115"/>
      <x:c r="E18" s="115"/>
      <x:c r="F18" s="115"/>
      <x:c r="G18" s="19"/>
      <x:c r="H18" s="19"/>
    </x:row>
    <x:row r="19" ht="15" hidden="0" customHeight="1">
      <x:c r="A19" s="19"/>
      <x:c r="B19" s="115"/>
      <x:c r="C19" s="115"/>
      <x:c r="D19" s="115"/>
      <x:c r="E19" s="115"/>
      <x:c r="F19" s="115"/>
      <x:c r="G19" s="19"/>
      <x:c r="H19" s="19"/>
    </x:row>
  </x:sheetData>
  <x:mergeCells>
    <x:mergeCell ref="A1:H2"/>
    <x:mergeCell ref="A3:H3"/>
    <x:mergeCell ref="B5:F5"/>
    <x:mergeCell ref="B10:F10"/>
    <x:mergeCell ref="B16:F16"/>
    <x:mergeCell ref="B17:F19"/>
  </x:mergeCells>
  <x:pageMargins left="0.7" right="0.7" top="0.75" bottom="0.75" header="0.3" footer="0.3"/>
</x:worksheet>
</file>

<file path=xl/worksheets/sheet7.xml><?xml version="1.0" encoding="utf-8"?>
<x:worksheet xmlns:x="http://schemas.openxmlformats.org/spreadsheetml/2006/main">
  <x:sheetViews>
    <x:sheetView showGridLines="0" workbookViewId="0">
      <x:pane xSplit="3" ySplit="5" topLeftCell="D6" activePane="bottomRight" state="frozen"/>
      <x:selection pane="topRight" activeCell="D1" sqref="D1"/>
      <x:selection pane="bottomLeft" activeCell="A6" sqref="A6"/>
      <x:selection pane="bottomRight" activeCell="D6" sqref="D6"/>
    </x:sheetView>
  </x:sheetViews>
  <x:sheetFormatPr defaultRowHeight="15"/>
  <x:cols>
    <x:col min="1" max="1" width="4" hidden="0" customWidth="1"/>
    <x:col min="2" max="2" width="8" hidden="0" customWidth="1"/>
    <x:col min="3" max="3" width="25" hidden="0" customWidth="1"/>
    <x:col min="4" max="4" width="24" hidden="0" customWidth="1"/>
    <x:col min="5" max="5" width="18" hidden="0" customWidth="1"/>
    <x:col min="6" max="6" width="21" hidden="0" customWidth="1"/>
    <x:col min="7" max="7" width="21" hidden="0" customWidth="1"/>
    <x:col min="8" max="8" width="21" hidden="0" customWidth="1"/>
    <x:col min="9" max="9" width="23" hidden="0" customWidth="1"/>
    <x:col min="10" max="10" width="21" hidden="0" customWidth="1"/>
    <x:col min="11" max="11" width="20" hidden="0" customWidth="1"/>
    <x:col min="12" max="12" width="15" hidden="0" customWidth="1"/>
    <x:col min="13" max="13" width="14" hidden="0" customWidth="1"/>
  </x:cols>
  <x:sheetData>
    <x:row r="1" ht="28" customHeight="1">
      <x:c r="A1" s="135" t="str">
        <x:v>Matrice de 24 tests du devis à l’encaissement (quote-to-cash)</x:v>
      </x:c>
      <x:c r="B1" s="135"/>
      <x:c r="C1" s="135"/>
      <x:c r="D1" s="135"/>
      <x:c r="E1" s="135"/>
      <x:c r="F1" s="135"/>
      <x:c r="G1" s="135"/>
      <x:c r="H1" s="135"/>
      <x:c r="I1" s="135"/>
      <x:c r="J1" s="135"/>
      <x:c r="K1" s="135"/>
      <x:c r="L1" s="135"/>
      <x:c r="M1" s="135"/>
    </x:row>
    <x:row r="2" ht="28" customHeight="1">
      <x:c r="A2" s="135"/>
      <x:c r="B2" s="135"/>
      <x:c r="C2" s="135"/>
      <x:c r="D2" s="135"/>
      <x:c r="E2" s="135"/>
      <x:c r="F2" s="135"/>
      <x:c r="G2" s="135"/>
      <x:c r="H2" s="135"/>
      <x:c r="I2" s="135"/>
      <x:c r="J2" s="135"/>
      <x:c r="K2" s="135"/>
      <x:c r="L2" s="135"/>
      <x:c r="M2" s="135"/>
    </x:row>
    <x:row r="3" ht="15" hidden="0" customHeight="1">
      <x:c r="A3" s="8" t="str">
        <x:v>Chaque cas doit conserver précondition, idempotence, résultat attendu, journal et reprise. « Documenté » ne signifie pas « exécuté ».</x:v>
      </x:c>
      <x:c r="B3" s="8"/>
      <x:c r="C3" s="8"/>
      <x:c r="D3" s="8"/>
      <x:c r="E3" s="8"/>
      <x:c r="F3" s="8"/>
      <x:c r="G3" s="8"/>
      <x:c r="H3" s="8"/>
      <x:c r="I3" s="8"/>
      <x:c r="J3" s="8"/>
      <x:c r="K3" s="8"/>
      <x:c r="L3" s="8"/>
      <x:c r="M3" s="8"/>
    </x:row>
    <x:row r="4" ht="15" hidden="0" customHeight="1">
      <x:c r="A4" s="19"/>
      <x:c r="B4" s="19"/>
      <x:c r="C4" s="19"/>
      <x:c r="D4" s="19"/>
      <x:c r="E4" s="19"/>
      <x:c r="F4" s="19"/>
      <x:c r="G4" s="19"/>
      <x:c r="H4" s="19"/>
      <x:c r="I4" s="19"/>
      <x:c r="J4" s="19"/>
      <x:c r="K4" s="19"/>
      <x:c r="L4" s="19"/>
      <x:c r="M4" s="19"/>
    </x:row>
    <x:row r="5" ht="15" hidden="0" customHeight="1">
      <x:c r="A5" s="19"/>
      <x:c r="B5" s="40" t="str">
        <x:v>ID</x:v>
      </x:c>
      <x:c r="C5" s="40" t="str">
        <x:v>Cas</x:v>
      </x:c>
      <x:c r="D5" s="40" t="str">
        <x:v>Précondition</x:v>
      </x:c>
      <x:c r="E5" s="40" t="str">
        <x:v>Clé d’idempotence</x:v>
      </x:c>
      <x:c r="F5" s="40" t="str">
        <x:v>Facture attendue</x:v>
      </x:c>
      <x:c r="G5" s="40" t="str">
        <x:v>Paiement attendu</x:v>
      </x:c>
      <x:c r="H5" s="40" t="str">
        <x:v>Droit attendu</x:v>
      </x:c>
      <x:c r="I5" s="40" t="str">
        <x:v>Trace / comptabilité</x:v>
      </x:c>
      <x:c r="J5" s="40" t="str">
        <x:v>Reprise</x:v>
      </x:c>
      <x:c r="K5" s="40" t="str">
        <x:v>Propriétaire</x:v>
      </x:c>
      <x:c r="L5" s="40" t="str">
        <x:v>Risque</x:v>
      </x:c>
      <x:c r="M5" s="40" t="str">
        <x:v>État</x:v>
      </x:c>
    </x:row>
    <x:row r="6" ht="26.399999618530273" hidden="0" customHeight="1">
      <x:c r="A6" s="19"/>
      <x:c r="B6" s="21" t="str">
        <x:v>T-01</x:v>
      </x:c>
      <x:c r="C6" s="21" t="str">
        <x:v>Nouvel abonnement mensuel par carte</x:v>
      </x:c>
      <x:c r="D6" s="21" t="str">
        <x:v>Offre et entreprise connues</x:v>
      </x:c>
      <x:c r="E6" s="21" t="str">
        <x:v>order_id + event_id</x:v>
      </x:c>
      <x:c r="F6" s="21" t="str">
        <x:v>Période et entité correctes</x:v>
      </x:c>
      <x:c r="G6" s="21" t="str">
        <x:v>Succès rapproché</x:v>
      </x:c>
      <x:c r="H6" s="21" t="str">
        <x:v>Ouvert selon règle</x:v>
      </x:c>
      <x:c r="I6" s="21" t="str">
        <x:v>Facture/paiement/droit reliés</x:v>
      </x:c>
      <x:c r="J6" s="21" t="str">
        <x:v>Rejouer sans doublon</x:v>
      </x:c>
      <x:c r="K6" s="21" t="str">
        <x:v>Produit + Finance</x:v>
      </x:c>
      <x:c r="L6" s="21" t="str">
        <x:v>Élevé</x:v>
      </x:c>
      <x:c r="M6" s="21" t="str">
        <x:v>À exécuter</x:v>
      </x:c>
    </x:row>
    <x:row r="7" ht="26.399999618530273" hidden="0" customHeight="1">
      <x:c r="A7" s="19"/>
      <x:c r="B7" s="21" t="str">
        <x:v>T-02</x:v>
      </x:c>
      <x:c r="C7" s="21" t="str">
        <x:v>Authentification requise</x:v>
      </x:c>
      <x:c r="D7" s="21" t="str">
        <x:v>Paiement non final</x:v>
      </x:c>
      <x:c r="E7" s="21" t="str">
        <x:v>payment_intent + event_id</x:v>
      </x:c>
      <x:c r="F7" s="21" t="str">
        <x:v>Pas de duplicat</x:v>
      </x:c>
      <x:c r="G7" s="21" t="str">
        <x:v>Action requise</x:v>
      </x:c>
      <x:c r="H7" s="21" t="str">
        <x:v>Pas d’ouverture implicite</x:v>
      </x:c>
      <x:c r="I7" s="21" t="str">
        <x:v>État explicable</x:v>
      </x:c>
      <x:c r="J7" s="21" t="str">
        <x:v>Reprendre après authentification</x:v>
      </x:c>
      <x:c r="K7" s="21" t="str">
        <x:v>Technique</x:v>
      </x:c>
      <x:c r="L7" s="21" t="str">
        <x:v>Élevé</x:v>
      </x:c>
      <x:c r="M7" s="21" t="str">
        <x:v>À exécuter</x:v>
      </x:c>
    </x:row>
    <x:row r="8" ht="26.399999618530273" hidden="0" customHeight="1">
      <x:c r="A8" s="19"/>
      <x:c r="B8" s="21" t="str">
        <x:v>T-03</x:v>
      </x:c>
      <x:c r="C8" s="21" t="str">
        <x:v>Paiement initial en traitement</x:v>
      </x:c>
      <x:c r="D8" s="21" t="str">
        <x:v>Retour navigateur reçu</x:v>
      </x:c>
      <x:c r="E8" s="21" t="str">
        <x:v>payment_id</x:v>
      </x:c>
      <x:c r="F8" s="21" t="str">
        <x:v>Unique</x:v>
      </x:c>
      <x:c r="G8" s="21" t="str">
        <x:v>En traitement</x:v>
      </x:c>
      <x:c r="H8" s="21" t="str">
        <x:v>Selon règle, pas retour navigateur</x:v>
      </x:c>
      <x:c r="I8" s="21" t="str">
        <x:v>Journal attente</x:v>
      </x:c>
      <x:c r="J8" s="21" t="str">
        <x:v>Événement final</x:v>
      </x:c>
      <x:c r="K8" s="21" t="str">
        <x:v>Technique</x:v>
      </x:c>
      <x:c r="L8" s="21" t="str">
        <x:v>Élevé</x:v>
      </x:c>
      <x:c r="M8" s="21" t="str">
        <x:v>À exécuter</x:v>
      </x:c>
    </x:row>
    <x:row r="9" ht="26.399999618530273" hidden="0" customHeight="1">
      <x:c r="A9" s="19"/>
      <x:c r="B9" s="21" t="str">
        <x:v>T-04</x:v>
      </x:c>
      <x:c r="C9" s="21" t="str">
        <x:v>Échec asynchrone après succès apparent</x:v>
      </x:c>
      <x:c r="D9" s="21" t="str">
        <x:v>Accès provisoire possible</x:v>
      </x:c>
      <x:c r="E9" s="21" t="str">
        <x:v>event_id</x:v>
      </x:c>
      <x:c r="F9" s="21" t="str">
        <x:v>Unique</x:v>
      </x:c>
      <x:c r="G9" s="21" t="str">
        <x:v>Échec rapproché</x:v>
      </x:c>
      <x:c r="H9" s="21" t="str">
        <x:v>Réviser selon politique</x:v>
      </x:c>
      <x:c r="I9" s="21" t="str">
        <x:v>Alerte + décision</x:v>
      </x:c>
      <x:c r="J9" s="21" t="str">
        <x:v>Corriger sans double effet</x:v>
      </x:c>
      <x:c r="K9" s="21" t="str">
        <x:v>Support</x:v>
      </x:c>
      <x:c r="L9" s="21" t="str">
        <x:v>Critique</x:v>
      </x:c>
      <x:c r="M9" s="21" t="str">
        <x:v>À exécuter</x:v>
      </x:c>
    </x:row>
    <x:row r="10" ht="26.399999618530273" hidden="0" customHeight="1">
      <x:c r="A10" s="19"/>
      <x:c r="B10" s="21" t="str">
        <x:v>T-05</x:v>
      </x:c>
      <x:c r="C10" s="21" t="str">
        <x:v>Vente B2B par virement</x:v>
      </x:c>
      <x:c r="D10" s="21" t="str">
        <x:v>Devis/commande acceptés</x:v>
      </x:c>
      <x:c r="E10" s="21" t="str">
        <x:v>invoice_id + bank_ref</x:v>
      </x:c>
      <x:c r="F10" s="21" t="str">
        <x:v>Échéance exacte</x:v>
      </x:c>
      <x:c r="G10" s="21" t="str">
        <x:v>En attente puis rapproché</x:v>
      </x:c>
      <x:c r="H10" s="21" t="str">
        <x:v>Selon date contractuelle</x:v>
      </x:c>
      <x:c r="I10" s="21" t="str">
        <x:v>Dossier commun</x:v>
      </x:c>
      <x:c r="J10" s="21" t="str">
        <x:v>Rapprochement manuel possible</x:v>
      </x:c>
      <x:c r="K10" s="21" t="str">
        <x:v>Finance</x:v>
      </x:c>
      <x:c r="L10" s="21" t="str">
        <x:v>Élevé</x:v>
      </x:c>
      <x:c r="M10" s="21" t="str">
        <x:v>À exécuter</x:v>
      </x:c>
    </x:row>
    <x:row r="11" ht="26.399999618530273" hidden="0" customHeight="1">
      <x:c r="A11" s="19"/>
      <x:c r="B11" s="21" t="str">
        <x:v>T-06</x:v>
      </x:c>
      <x:c r="C11" s="21" t="str">
        <x:v>Virement sans référence</x:v>
      </x:c>
      <x:c r="D11" s="21" t="str">
        <x:v>Cash reçu</x:v>
      </x:c>
      <x:c r="E11" s="21" t="str">
        <x:v>bank_tx_id</x:v>
      </x:c>
      <x:c r="F11" s="21" t="str">
        <x:v>Facture à identifier</x:v>
      </x:c>
      <x:c r="G11" s="21" t="str">
        <x:v>Non rapproché</x:v>
      </x:c>
      <x:c r="H11" s="21" t="str">
        <x:v>Ne pas déduire automatiquement</x:v>
      </x:c>
      <x:c r="I11" s="21" t="str">
        <x:v>File d’exception</x:v>
      </x:c>
      <x:c r="J11" s="21" t="str">
        <x:v>Recherche + preuve</x:v>
      </x:c>
      <x:c r="K11" s="21" t="str">
        <x:v>Finance</x:v>
      </x:c>
      <x:c r="L11" s="21" t="str">
        <x:v>Élevé</x:v>
      </x:c>
      <x:c r="M11" s="21" t="str">
        <x:v>À exécuter</x:v>
      </x:c>
    </x:row>
    <x:row r="12" ht="15" hidden="0" customHeight="1">
      <x:c r="A12" s="19"/>
      <x:c r="B12" s="21" t="str">
        <x:v>T-07</x:v>
      </x:c>
      <x:c r="C12" s="21" t="str">
        <x:v>Webhook reçu deux fois</x:v>
      </x:c>
      <x:c r="D12" s="21" t="str">
        <x:v>Premier événement appliqué</x:v>
      </x:c>
      <x:c r="E12" s="21" t="str">
        <x:v>event_id</x:v>
      </x:c>
      <x:c r="F12" s="21" t="str">
        <x:v>Une seule facture</x:v>
      </x:c>
      <x:c r="G12" s="21" t="str">
        <x:v>Un seul effet</x:v>
      </x:c>
      <x:c r="H12" s="21" t="str">
        <x:v>Un seul droit</x:v>
      </x:c>
      <x:c r="I12" s="21" t="str">
        <x:v>Doublon journalisé</x:v>
      </x:c>
      <x:c r="J12" s="21" t="str">
        <x:v>Réponse idempotente</x:v>
      </x:c>
      <x:c r="K12" s="21" t="str">
        <x:v>Technique</x:v>
      </x:c>
      <x:c r="L12" s="21" t="str">
        <x:v>Critique</x:v>
      </x:c>
      <x:c r="M12" s="21" t="str">
        <x:v>À exécuter</x:v>
      </x:c>
    </x:row>
    <x:row r="13" ht="26.399999618530273" hidden="0" customHeight="1">
      <x:c r="A13" s="19"/>
      <x:c r="B13" s="21" t="str">
        <x:v>T-08</x:v>
      </x:c>
      <x:c r="C13" s="21" t="str">
        <x:v>Événements hors ordre</x:v>
      </x:c>
      <x:c r="D13" s="21" t="str">
        <x:v>Événement ancien reçu tard</x:v>
      </x:c>
      <x:c r="E13" s="21" t="str">
        <x:v>object_id + version</x:v>
      </x:c>
      <x:c r="F13" s="21" t="str">
        <x:v>État le plus récent</x:v>
      </x:c>
      <x:c r="G13" s="21" t="str">
        <x:v>Historique conservé</x:v>
      </x:c>
      <x:c r="H13" s="21" t="str">
        <x:v>Pas de retour arrière implicite</x:v>
      </x:c>
      <x:c r="I13" s="21" t="str">
        <x:v>Ordre observable</x:v>
      </x:c>
      <x:c r="J13" s="21" t="str">
        <x:v>Réconciliation</x:v>
      </x:c>
      <x:c r="K13" s="21" t="str">
        <x:v>Technique</x:v>
      </x:c>
      <x:c r="L13" s="21" t="str">
        <x:v>Critique</x:v>
      </x:c>
      <x:c r="M13" s="21" t="str">
        <x:v>À exécuter</x:v>
      </x:c>
    </x:row>
    <x:row r="14" ht="15" hidden="0" customHeight="1">
      <x:c r="A14" s="19"/>
      <x:c r="B14" s="21" t="str">
        <x:v>T-09</x:v>
      </x:c>
      <x:c r="C14" s="21" t="str">
        <x:v>Upgrade période payée</x:v>
      </x:c>
      <x:c r="D14" s="21" t="str">
        <x:v>Facture précédente réglée</x:v>
      </x:c>
      <x:c r="E14" s="21" t="str">
        <x:v>change_id</x:v>
      </x:c>
      <x:c r="F14" s="21" t="str">
        <x:v>Débit/crédit explicable</x:v>
      </x:c>
      <x:c r="G14" s="21" t="str">
        <x:v>Écart rapproché</x:v>
      </x:c>
      <x:c r="H14" s="21" t="str">
        <x:v>Nouveaux droits datés</x:v>
      </x:c>
      <x:c r="I14" s="21" t="str">
        <x:v>Avant/après</x:v>
      </x:c>
      <x:c r="J14" s="21" t="str">
        <x:v>Annuler le changement</x:v>
      </x:c>
      <x:c r="K14" s="21" t="str">
        <x:v>Produit + Finance</x:v>
      </x:c>
      <x:c r="L14" s="21" t="str">
        <x:v>Élevé</x:v>
      </x:c>
      <x:c r="M14" s="21" t="str">
        <x:v>À exécuter</x:v>
      </x:c>
    </x:row>
    <x:row r="15" ht="15" hidden="0" customHeight="1">
      <x:c r="A15" s="19"/>
      <x:c r="B15" s="21" t="str">
        <x:v>T-10</x:v>
      </x:c>
      <x:c r="C15" s="21" t="str">
        <x:v>Upgrade facture impayée</x:v>
      </x:c>
      <x:c r="D15" s="21" t="str">
        <x:v>Créance ouverte</x:v>
      </x:c>
      <x:c r="E15" s="21" t="str">
        <x:v>change_id</x:v>
      </x:c>
      <x:c r="F15" s="21" t="str">
        <x:v>Pas de crédit incohérent</x:v>
      </x:c>
      <x:c r="G15" s="21" t="str">
        <x:v>Créance visible</x:v>
      </x:c>
      <x:c r="H15" s="21" t="str">
        <x:v>Règle explicite</x:v>
      </x:c>
      <x:c r="I15" s="21" t="str">
        <x:v>Exception signalée</x:v>
      </x:c>
      <x:c r="J15" s="21" t="str">
        <x:v>Décision humaine</x:v>
      </x:c>
      <x:c r="K15" s="21" t="str">
        <x:v>Finance</x:v>
      </x:c>
      <x:c r="L15" s="21" t="str">
        <x:v>Critique</x:v>
      </x:c>
      <x:c r="M15" s="21" t="str">
        <x:v>À exécuter</x:v>
      </x:c>
    </x:row>
    <x:row r="16" ht="26.399999618530273" hidden="0" customHeight="1">
      <x:c r="A16" s="19"/>
      <x:c r="B16" s="21" t="str">
        <x:v>T-11</x:v>
      </x:c>
      <x:c r="C16" s="21" t="str">
        <x:v>Downgrade au renouvellement</x:v>
      </x:c>
      <x:c r="D16" s="21" t="str">
        <x:v>Demande enregistrée</x:v>
      </x:c>
      <x:c r="E16" s="21" t="str">
        <x:v>change_id</x:v>
      </x:c>
      <x:c r="F16" s="21" t="str">
        <x:v>Pas de remboursement implicite</x:v>
      </x:c>
      <x:c r="G16" s="21" t="str">
        <x:v>Échéance inchangée</x:v>
      </x:c>
      <x:c r="H16" s="21" t="str">
        <x:v>Réduction à date</x:v>
      </x:c>
      <x:c r="I16" s="21" t="str">
        <x:v>Demande + date</x:v>
      </x:c>
      <x:c r="J16" s="21" t="str">
        <x:v>Annuler avant échéance</x:v>
      </x:c>
      <x:c r="K16" s="21" t="str">
        <x:v>Produit</x:v>
      </x:c>
      <x:c r="L16" s="21" t="str">
        <x:v>Moyen</x:v>
      </x:c>
      <x:c r="M16" s="21" t="str">
        <x:v>À exécuter</x:v>
      </x:c>
    </x:row>
    <x:row r="17" ht="15" hidden="0" customHeight="1">
      <x:c r="A17" s="19"/>
      <x:c r="B17" s="21" t="str">
        <x:v>T-12</x:v>
      </x:c>
      <x:c r="C17" s="21" t="str">
        <x:v>Résiliation fin de période</x:v>
      </x:c>
      <x:c r="D17" s="21" t="str">
        <x:v>Contrat qualifié</x:v>
      </x:c>
      <x:c r="E17" s="21" t="str">
        <x:v>cancel_id</x:v>
      </x:c>
      <x:c r="F17" s="21" t="str">
        <x:v>Dernière facture définie</x:v>
      </x:c>
      <x:c r="G17" s="21" t="str">
        <x:v>Solde rapproché</x:v>
      </x:c>
      <x:c r="H17" s="21" t="str">
        <x:v>Export puis fermeture</x:v>
      </x:c>
      <x:c r="I17" s="21" t="str">
        <x:v>Date et preuve</x:v>
      </x:c>
      <x:c r="J17" s="21" t="str">
        <x:v>Réactiver si autorisé</x:v>
      </x:c>
      <x:c r="K17" s="21" t="str">
        <x:v>Support</x:v>
      </x:c>
      <x:c r="L17" s="21" t="str">
        <x:v>Élevé</x:v>
      </x:c>
      <x:c r="M17" s="21" t="str">
        <x:v>À exécuter</x:v>
      </x:c>
    </x:row>
    <x:row r="18" ht="26.399999618530273" hidden="0" customHeight="1">
      <x:c r="A18" s="19"/>
      <x:c r="B18" s="21" t="str">
        <x:v>T-13</x:v>
      </x:c>
      <x:c r="C18" s="21" t="str">
        <x:v>Résiliation immédiate + remboursement</x:v>
      </x:c>
      <x:c r="D18" s="21" t="str">
        <x:v>Autorisation validée</x:v>
      </x:c>
      <x:c r="E18" s="21" t="str">
        <x:v>refund_id</x:v>
      </x:c>
      <x:c r="F18" s="21" t="str">
        <x:v>Avoir relié</x:v>
      </x:c>
      <x:c r="G18" s="21" t="str">
        <x:v>Remboursement unique</x:v>
      </x:c>
      <x:c r="H18" s="21" t="str">
        <x:v>Fermeture journalisée</x:v>
      </x:c>
      <x:c r="I18" s="21" t="str">
        <x:v>Conseil/finance</x:v>
      </x:c>
      <x:c r="J18" s="21" t="str">
        <x:v>Escalade si litige</x:v>
      </x:c>
      <x:c r="K18" s="21" t="str">
        <x:v>Direction</x:v>
      </x:c>
      <x:c r="L18" s="21" t="str">
        <x:v>Critique</x:v>
      </x:c>
      <x:c r="M18" s="21" t="str">
        <x:v>À exécuter</x:v>
      </x:c>
    </x:row>
    <x:row r="19" ht="15" hidden="0" customHeight="1">
      <x:c r="A19" s="19"/>
      <x:c r="B19" s="21" t="str">
        <x:v>T-14</x:v>
      </x:c>
      <x:c r="C19" s="21" t="str">
        <x:v>Mesure d’usage dupliquée</x:v>
      </x:c>
      <x:c r="D19" s="21" t="str">
        <x:v>Unité et période connues</x:v>
      </x:c>
      <x:c r="E19" s="21" t="str">
        <x:v>meter_event_id</x:v>
      </x:c>
      <x:c r="F19" s="21" t="str">
        <x:v>Quantité non doublée</x:v>
      </x:c>
      <x:c r="G19" s="21" t="str">
        <x:v>Aucun double débit</x:v>
      </x:c>
      <x:c r="H19" s="21" t="str">
        <x:v>Sans effet indu</x:v>
      </x:c>
      <x:c r="I19" s="21" t="str">
        <x:v>Doublon visible</x:v>
      </x:c>
      <x:c r="J19" s="21" t="str">
        <x:v>Rejouer</x:v>
      </x:c>
      <x:c r="K19" s="21" t="str">
        <x:v>Technique</x:v>
      </x:c>
      <x:c r="L19" s="21" t="str">
        <x:v>Critique</x:v>
      </x:c>
      <x:c r="M19" s="21" t="str">
        <x:v>À exécuter</x:v>
      </x:c>
    </x:row>
    <x:row r="20" ht="26.399999618530273" hidden="0" customHeight="1">
      <x:c r="A20" s="19"/>
      <x:c r="B20" s="21" t="str">
        <x:v>T-15</x:v>
      </x:c>
      <x:c r="C20" s="21" t="str">
        <x:v>Mesure d’usage tardive</x:v>
      </x:c>
      <x:c r="D20" s="21" t="str">
        <x:v>Période clôturée</x:v>
      </x:c>
      <x:c r="E20" s="21" t="str">
        <x:v>meter_event_id</x:v>
      </x:c>
      <x:c r="F20" s="21" t="str">
        <x:v>Correction/avoir selon règle</x:v>
      </x:c>
      <x:c r="G20" s="21" t="str">
        <x:v>Écart explicable</x:v>
      </x:c>
      <x:c r="H20" s="21" t="str">
        <x:v>Sans coupure implicite</x:v>
      </x:c>
      <x:c r="I20" s="21" t="str">
        <x:v>Journal de correction</x:v>
      </x:c>
      <x:c r="J20" s="21" t="str">
        <x:v>Réouvrir ou période suivante</x:v>
      </x:c>
      <x:c r="K20" s="21" t="str">
        <x:v>Finance + Produit</x:v>
      </x:c>
      <x:c r="L20" s="21" t="str">
        <x:v>Élevé</x:v>
      </x:c>
      <x:c r="M20" s="21" t="str">
        <x:v>À exécuter</x:v>
      </x:c>
    </x:row>
    <x:row r="21" ht="26.399999618530273" hidden="0" customHeight="1">
      <x:c r="A21" s="19"/>
      <x:c r="B21" s="21" t="str">
        <x:v>T-16</x:v>
      </x:c>
      <x:c r="C21" s="21" t="str">
        <x:v>Relance réussie nouveau moyen</x:v>
      </x:c>
      <x:c r="D21" s="21" t="str">
        <x:v>Paiement échoué</x:v>
      </x:c>
      <x:c r="E21" s="21" t="str">
        <x:v>retry_id</x:v>
      </x:c>
      <x:c r="F21" s="21" t="str">
        <x:v>Facture inchangée</x:v>
      </x:c>
      <x:c r="G21" s="21" t="str">
        <x:v>Récupéré et rapproché</x:v>
      </x:c>
      <x:c r="H21" s="21" t="str">
        <x:v>Restauré selon règle</x:v>
      </x:c>
      <x:c r="I21" s="21" t="str">
        <x:v>Cohorte relance</x:v>
      </x:c>
      <x:c r="J21" s="21" t="str">
        <x:v>Aucun double encaissement</x:v>
      </x:c>
      <x:c r="K21" s="21" t="str">
        <x:v>Finance</x:v>
      </x:c>
      <x:c r="L21" s="21" t="str">
        <x:v>Élevé</x:v>
      </x:c>
      <x:c r="M21" s="21" t="str">
        <x:v>À exécuter</x:v>
      </x:c>
    </x:row>
    <x:row r="22" ht="26.399999618530273" hidden="0" customHeight="1">
      <x:c r="A22" s="19"/>
      <x:c r="B22" s="21" t="str">
        <x:v>T-17</x:v>
      </x:c>
      <x:c r="C22" s="21" t="str">
        <x:v>Rejet facture électronique / identifiant</x:v>
      </x:c>
      <x:c r="D22" s="21" t="str">
        <x:v>Flux dans le périmètre</x:v>
      </x:c>
      <x:c r="E22" s="21" t="str">
        <x:v>invoice_id + platform_ref</x:v>
      </x:c>
      <x:c r="F22" s="21" t="str">
        <x:v>Rejet visible</x:v>
      </x:c>
      <x:c r="G22" s="21" t="str">
        <x:v>Donnée paiement séparée</x:v>
      </x:c>
      <x:c r="H22" s="21" t="str">
        <x:v>Ne pas déduire de droit</x:v>
      </x:c>
      <x:c r="I22" s="21" t="str">
        <x:v>Motif + horodatage</x:v>
      </x:c>
      <x:c r="J22" s="21" t="str">
        <x:v>Corriger et réémettre</x:v>
      </x:c>
      <x:c r="K22" s="21" t="str">
        <x:v>Finance</x:v>
      </x:c>
      <x:c r="L22" s="21" t="str">
        <x:v>Critique</x:v>
      </x:c>
      <x:c r="M22" s="21" t="str">
        <x:v>À exécuter</x:v>
      </x:c>
    </x:row>
    <x:row r="23" ht="26.399999618530273" hidden="0" customHeight="1">
      <x:c r="A23" s="19"/>
      <x:c r="B23" s="21" t="str">
        <x:v>T-18</x:v>
      </x:c>
      <x:c r="C23" s="21" t="str">
        <x:v>Migration contrat annuel avec avoir</x:v>
      </x:c>
      <x:c r="D23" s="21" t="str">
        <x:v>Historique exporté</x:v>
      </x:c>
      <x:c r="E23" s="21" t="str">
        <x:v>contract_id + credit_id</x:v>
      </x:c>
      <x:c r="F23" s="21" t="str">
        <x:v>Solde repris</x:v>
      </x:c>
      <x:c r="G23" s="21" t="str">
        <x:v>Cash historique tracé</x:v>
      </x:c>
      <x:c r="H23" s="21" t="str">
        <x:v>Droits continus</x:v>
      </x:c>
      <x:c r="I23" s="21" t="str">
        <x:v>Contrôle source/cible</x:v>
      </x:c>
      <x:c r="J23" s="21" t="str">
        <x:v>Rollback documenté</x:v>
      </x:c>
      <x:c r="K23" s="21" t="str">
        <x:v>Technique + Finance</x:v>
      </x:c>
      <x:c r="L23" s="21" t="str">
        <x:v>Critique</x:v>
      </x:c>
      <x:c r="M23" s="21" t="str">
        <x:v>À exécuter</x:v>
      </x:c>
    </x:row>
    <x:row r="24" ht="26.399999618530273" hidden="0" customHeight="1">
      <x:c r="A24" s="19"/>
      <x:c r="B24" s="21" t="str">
        <x:v>T-19</x:v>
      </x:c>
      <x:c r="C24" s="21" t="str">
        <x:v>Paiement partiel</x:v>
      </x:c>
      <x:c r="D24" s="21" t="str">
        <x:v>Facture ouverte et règle d’accès écrite</x:v>
      </x:c>
      <x:c r="E24" s="21" t="str">
        <x:v>payment_id + allocation_id</x:v>
      </x:c>
      <x:c r="F24" s="21" t="str">
        <x:v>Créance résiduelle visible</x:v>
      </x:c>
      <x:c r="G24" s="21" t="str">
        <x:v>Part affectée seulement</x:v>
      </x:c>
      <x:c r="H24" s="21" t="str">
        <x:v>Selon règle contractuelle</x:v>
      </x:c>
      <x:c r="I24" s="21" t="str">
        <x:v>Solde + affectation</x:v>
      </x:c>
      <x:c r="J24" s="21" t="str">
        <x:v>Rapprocher le reliquat</x:v>
      </x:c>
      <x:c r="K24" s="21" t="str">
        <x:v>Finance + Support</x:v>
      </x:c>
      <x:c r="L24" s="21" t="str">
        <x:v>Critique</x:v>
      </x:c>
      <x:c r="M24" s="21" t="str">
        <x:v>À exécuter</x:v>
      </x:c>
    </x:row>
    <x:row r="25" ht="26.399999618530273" hidden="0" customHeight="1">
      <x:c r="A25" s="19"/>
      <x:c r="B25" s="21" t="str">
        <x:v>T-20</x:v>
      </x:c>
      <x:c r="C25" s="21" t="str">
        <x:v>Chargeback après encaissement</x:v>
      </x:c>
      <x:c r="D25" s="21" t="str">
        <x:v>Paiement rapproché et preuve conservée</x:v>
      </x:c>
      <x:c r="E25" s="21" t="str">
        <x:v>dispute_id + event_id</x:v>
      </x:c>
      <x:c r="F25" s="21" t="str">
        <x:v>Avoir seulement si justifié</x:v>
      </x:c>
      <x:c r="G25" s="21" t="str">
        <x:v>Cash et litige séparés</x:v>
      </x:c>
      <x:c r="H25" s="21" t="str">
        <x:v>Selon arbitrage documenté</x:v>
      </x:c>
      <x:c r="I25" s="21" t="str">
        <x:v>Preuves + créance éventuelle</x:v>
      </x:c>
      <x:c r="J25" s="21" t="str">
        <x:v>Contester ou corriger sans effacer</x:v>
      </x:c>
      <x:c r="K25" s="21" t="str">
        <x:v>Finance + Support</x:v>
      </x:c>
      <x:c r="L25" s="21" t="str">
        <x:v>Critique</x:v>
      </x:c>
      <x:c r="M25" s="21" t="str">
        <x:v>À exécuter</x:v>
      </x:c>
    </x:row>
    <x:row r="26" ht="26.399999618530273" hidden="0" customHeight="1">
      <x:c r="A26" s="19"/>
      <x:c r="B26" s="21" t="str">
        <x:v>T-21</x:v>
      </x:c>
      <x:c r="C26" s="21" t="str">
        <x:v>Conversion d’essai</x:v>
      </x:c>
      <x:c r="D26" s="21" t="str">
        <x:v>Essai, offre et date d’effet connus</x:v>
      </x:c>
      <x:c r="E26" s="21" t="str">
        <x:v>trial_id + conversion_id</x:v>
      </x:c>
      <x:c r="F26" s="21" t="str">
        <x:v>Première période exacte</x:v>
      </x:c>
      <x:c r="G26" s="21" t="str">
        <x:v>Moyen qualifié</x:v>
      </x:c>
      <x:c r="H26" s="21" t="str">
        <x:v>Ouverture à la date décidée</x:v>
      </x:c>
      <x:c r="I26" s="21" t="str">
        <x:v>Avant/après reliés</x:v>
      </x:c>
      <x:c r="J26" s="21" t="str">
        <x:v>Annuler sans double période</x:v>
      </x:c>
      <x:c r="K26" s="21" t="str">
        <x:v>Produit + Finance</x:v>
      </x:c>
      <x:c r="L26" s="21" t="str">
        <x:v>Élevé</x:v>
      </x:c>
      <x:c r="M26" s="21" t="str">
        <x:v>À exécuter</x:v>
      </x:c>
    </x:row>
    <x:row r="27" ht="26.399999618530273" hidden="0" customHeight="1">
      <x:c r="A27" s="19"/>
      <x:c r="B27" s="21" t="str">
        <x:v>T-22</x:v>
      </x:c>
      <x:c r="C27" s="21" t="str">
        <x:v>Pause puis reprise</x:v>
      </x:c>
      <x:c r="D27" s="21" t="str">
        <x:v>Règle de pause publiée</x:v>
      </x:c>
      <x:c r="E27" s="21" t="str">
        <x:v>pause_id + resume_id</x:v>
      </x:c>
      <x:c r="F27" s="21" t="str">
        <x:v>Échéance recalculée explicitement</x:v>
      </x:c>
      <x:c r="G27" s="21" t="str">
        <x:v>Aucun débit caché</x:v>
      </x:c>
      <x:c r="H27" s="21" t="str">
        <x:v>Fermeture et reprise datées</x:v>
      </x:c>
      <x:c r="I27" s="21" t="str">
        <x:v>Consommation + droits</x:v>
      </x:c>
      <x:c r="J27" s="21" t="str">
        <x:v>Reprendre sans rattrapage implicite</x:v>
      </x:c>
      <x:c r="K27" s="21" t="str">
        <x:v>Produit + Support</x:v>
      </x:c>
      <x:c r="L27" s="21" t="str">
        <x:v>Élevé</x:v>
      </x:c>
      <x:c r="M27" s="21" t="str">
        <x:v>À exécuter</x:v>
      </x:c>
    </x:row>
    <x:row r="28" ht="26.399999618530273" hidden="0" customHeight="1">
      <x:c r="A28" s="19"/>
      <x:c r="B28" s="21" t="str">
        <x:v>T-23</x:v>
      </x:c>
      <x:c r="C28" s="21" t="str">
        <x:v>Modification rétroactive</x:v>
      </x:c>
      <x:c r="D28" s="21" t="str">
        <x:v>Période source déjà clôturée</x:v>
      </x:c>
      <x:c r="E28" s="21" t="str">
        <x:v>adjustment_id + source_version</x:v>
      </x:c>
      <x:c r="F28" s="21" t="str">
        <x:v>Correction ou période suivante</x:v>
      </x:c>
      <x:c r="G28" s="21" t="str">
        <x:v>Écart explicable</x:v>
      </x:c>
      <x:c r="H28" s="21" t="str">
        <x:v>Pas de retour arrière silencieux</x:v>
      </x:c>
      <x:c r="I28" s="21" t="str">
        <x:v>Journal d’ajustement</x:v>
      </x:c>
      <x:c r="J28" s="21" t="str">
        <x:v>Rejouer sur copie</x:v>
      </x:c>
      <x:c r="K28" s="21" t="str">
        <x:v>Finance + Technique</x:v>
      </x:c>
      <x:c r="L28" s="21" t="str">
        <x:v>Critique</x:v>
      </x:c>
      <x:c r="M28" s="21" t="str">
        <x:v>À exécuter</x:v>
      </x:c>
    </x:row>
    <x:row r="29" ht="26.399999618530273" hidden="0" customHeight="1">
      <x:c r="A29" s="19"/>
      <x:c r="B29" s="22" t="str">
        <x:v>T-24</x:v>
      </x:c>
      <x:c r="C29" s="22" t="str">
        <x:v>Changement fiscal en période</x:v>
      </x:c>
      <x:c r="D29" s="22" t="str">
        <x:v>Date d’effet et preuves client connues</x:v>
      </x:c>
      <x:c r="E29" s="22" t="str">
        <x:v>tax_evidence_version + invoice_id</x:v>
      </x:c>
      <x:c r="F29" s="22" t="str">
        <x:v>Document conforme à la date</x:v>
      </x:c>
      <x:c r="G29" s="22" t="str">
        <x:v>Taxe non déduite du paiement seul</x:v>
      </x:c>
      <x:c r="H29" s="22" t="str">
        <x:v>Sans effet implicite</x:v>
      </x:c>
      <x:c r="I29" s="22" t="str">
        <x:v>Preuves + règle utilisée</x:v>
      </x:c>
      <x:c r="J29" s="22" t="str">
        <x:v>STOP puis validation spécialiste</x:v>
      </x:c>
      <x:c r="K29" s="22" t="str">
        <x:v>Finance + Fiscal</x:v>
      </x:c>
      <x:c r="L29" s="22" t="str">
        <x:v>Critique</x:v>
      </x:c>
      <x:c r="M29" s="22" t="str">
        <x:v>À exécuter</x:v>
      </x:c>
    </x:row>
  </x:sheetData>
  <x:mergeCells>
    <x:mergeCell ref="A1:M2"/>
    <x:mergeCell ref="A3:M3"/>
  </x:mergeCells>
  <x:conditionalFormatting sqref="M6:M29">
    <x:cfRule type="containsText" dxfId="6" priority="1" operator="containsText" text="FAIL"/>
    <x:cfRule type="containsText" dxfId="7" priority="2" operator="containsText" text="PASS"/>
    <x:cfRule type="containsText" dxfId="8" priority="3" operator="containsText" text="STOP"/>
  </x:conditionalFormatting>
  <x:dataValidations count="2">
    <x:dataValidation type="list" sqref="L6:L29">
      <x:formula1>"Faible,Moyen,Élevé,Critique"</x:formula1>
    </x:dataValidation>
    <x:dataValidation type="list" sqref="M6:M29">
      <x:formula1>"À documenter,Documenté,À exécuter,PASS,FAIL,STOP"</x:formula1>
    </x:dataValidation>
  </x:dataValidations>
  <x:pageMargins left="0.7" right="0.7" top="0.75" bottom="0.75" header="0.3" footer="0.3"/>
</x:worksheet>
</file>

<file path=xl/worksheets/sheet8.xml><?xml version="1.0" encoding="utf-8"?>
<x:worksheet xmlns:x="http://schemas.openxmlformats.org/spreadsheetml/2006/main">
  <x:sheetViews>
    <x:sheetView showGridLines="0" workbookViewId="0"/>
  </x:sheetViews>
  <x:sheetFormatPr defaultRowHeight="15"/>
  <x:cols>
    <x:col min="1" max="1" width="4" hidden="0" customWidth="1"/>
    <x:col min="2" max="2" width="25" hidden="0" customWidth="1"/>
    <x:col min="3" max="3" width="16" hidden="0" customWidth="1"/>
    <x:col min="4" max="4" width="18" hidden="0" customWidth="1"/>
    <x:col min="5" max="5" width="24" hidden="0" customWidth="1"/>
    <x:col min="6" max="6" width="20" hidden="0" customWidth="1"/>
    <x:col min="7" max="7" width="20" hidden="0" customWidth="1"/>
    <x:col min="8" max="8" width="20" hidden="0" customWidth="1"/>
    <x:col min="9" max="9" width="20" hidden="0" customWidth="1"/>
    <x:col min="10" max="10" width="4" hidden="0" customWidth="1"/>
  </x:cols>
  <x:sheetData>
    <x:row r="1" ht="28" customHeight="1">
      <x:c r="A1" s="135" t="str">
        <x:v>Exemple fictif Planor — synthèse de décision</x:v>
      </x:c>
      <x:c r="B1" s="135"/>
      <x:c r="C1" s="135"/>
      <x:c r="D1" s="135"/>
      <x:c r="E1" s="135"/>
      <x:c r="F1" s="135"/>
      <x:c r="G1" s="135"/>
      <x:c r="H1" s="135"/>
      <x:c r="I1" s="135"/>
      <x:c r="J1" s="135"/>
    </x:row>
    <x:row r="2" ht="28" customHeight="1">
      <x:c r="A2" s="135"/>
      <x:c r="B2" s="135"/>
      <x:c r="C2" s="135"/>
      <x:c r="D2" s="135"/>
      <x:c r="E2" s="135"/>
      <x:c r="F2" s="135"/>
      <x:c r="G2" s="135"/>
      <x:c r="H2" s="135"/>
      <x:c r="I2" s="135"/>
      <x:c r="J2" s="135"/>
    </x:row>
    <x:row r="3" ht="15" hidden="0" customHeight="1">
      <x:c r="A3" s="8" t="str">
        <x:v>Aucun chiffre ne décrit un client réel. Cette page sert à apprendre à expliquer un écart et à choisir le prochain contrôle.</x:v>
      </x:c>
      <x:c r="B3" s="8"/>
      <x:c r="C3" s="8"/>
      <x:c r="D3" s="8"/>
      <x:c r="E3" s="8"/>
      <x:c r="F3" s="8"/>
      <x:c r="G3" s="8"/>
      <x:c r="H3" s="8"/>
      <x:c r="I3" s="8"/>
      <x:c r="J3" s="8"/>
    </x:row>
    <x:row r="4" ht="15" hidden="0" customHeight="1">
      <x:c r="A4" s="19"/>
      <x:c r="B4" s="19"/>
      <x:c r="C4" s="19"/>
      <x:c r="D4" s="19"/>
      <x:c r="E4" s="19"/>
      <x:c r="F4" s="19"/>
      <x:c r="G4" s="19"/>
      <x:c r="H4" s="19"/>
      <x:c r="I4" s="19"/>
      <x:c r="J4" s="19"/>
    </x:row>
    <x:row r="5" ht="15" hidden="0" customHeight="1">
      <x:c r="A5" s="19"/>
      <x:c r="B5" s="136" t="str">
        <x:v>Indicateurs clés</x:v>
      </x:c>
      <x:c r="C5" s="136"/>
      <x:c r="D5" s="136"/>
      <x:c r="E5" s="136"/>
      <x:c r="F5" s="136"/>
      <x:c r="G5" s="136"/>
      <x:c r="H5" s="136"/>
      <x:c r="I5" s="136"/>
      <x:c r="J5" s="19"/>
    </x:row>
    <x:row r="6" ht="15" hidden="0" customHeight="1">
      <x:c r="A6" s="19"/>
      <x:c r="B6" s="153" t="str">
        <x:v>MRR fin</x:v>
      </x:c>
      <x:c r="C6" s="154" t="n">
        <x:f>'MRR'!H17</x:f>
        <x:v>3800</x:v>
      </x:c>
      <x:c r="D6" s="154" t="str">
        <x:v>Nouveau MRR</x:v>
      </x:c>
      <x:c r="E6" s="154" t="n">
        <x:f>'MRR'!C20</x:f>
        <x:v>4100</x:v>
      </x:c>
      <x:c r="F6" s="153" t="str">
        <x:v>Factures brutes</x:v>
      </x:c>
      <x:c r="G6" s="154" t="n">
        <x:f>'RAPPROCHEMENT'!C20</x:f>
        <x:v>41000</x:v>
      </x:c>
      <x:c r="H6" s="154" t="str">
        <x:v>Cash net</x:v>
      </x:c>
      <x:c r="I6" s="154" t="n">
        <x:f>'RAPPROCHEMENT'!K20</x:f>
        <x:v>40650</x:v>
      </x:c>
      <x:c r="J6" s="19"/>
    </x:row>
    <x:row r="7" ht="15" hidden="0" customHeight="1">
      <x:c r="A7" s="19"/>
      <x:c r="B7" s="19"/>
      <x:c r="C7" s="19"/>
      <x:c r="D7" s="19"/>
      <x:c r="E7" s="19"/>
      <x:c r="F7" s="19"/>
      <x:c r="G7" s="19"/>
      <x:c r="H7" s="19"/>
      <x:c r="I7" s="19"/>
      <x:c r="J7" s="19"/>
    </x:row>
    <x:row r="8" ht="15" hidden="0" customHeight="1">
      <x:c r="A8" s="19"/>
      <x:c r="B8" s="136" t="str">
        <x:v>Sept sources de vérité à relier</x:v>
      </x:c>
      <x:c r="C8" s="136"/>
      <x:c r="D8" s="136"/>
      <x:c r="E8" s="136"/>
      <x:c r="F8" s="136"/>
      <x:c r="G8" s="136"/>
      <x:c r="H8" s="136"/>
      <x:c r="I8" s="136"/>
      <x:c r="J8" s="19"/>
    </x:row>
    <x:row r="9" ht="15" hidden="0" customHeight="1">
      <x:c r="A9" s="19"/>
      <x:c r="B9" s="40" t="str">
        <x:v>Objet</x:v>
      </x:c>
      <x:c r="C9" s="40" t="str">
        <x:v>Système possible</x:v>
      </x:c>
      <x:c r="D9" s="40" t="str">
        <x:v>Propriétaire</x:v>
      </x:c>
      <x:c r="E9" s="40" t="str">
        <x:v>Identifiant</x:v>
      </x:c>
      <x:c r="F9" s="40" t="str">
        <x:v>Fait foi pour</x:v>
      </x:c>
      <x:c r="G9" s="40" t="str">
        <x:v>Correction</x:v>
      </x:c>
      <x:c r="H9" s="40" t="str">
        <x:v>Preuve</x:v>
      </x:c>
      <x:c r="I9" s="40" t="str">
        <x:v>STOP</x:v>
      </x:c>
      <x:c r="J9" s="19"/>
    </x:row>
    <x:row r="10" ht="15" hidden="0" customHeight="1">
      <x:c r="A10" s="19"/>
      <x:c r="B10" s="21" t="str">
        <x:v>Offre</x:v>
      </x:c>
      <x:c r="C10" s="21" t="str">
        <x:v>CRM / devis</x:v>
      </x:c>
      <x:c r="D10" s="21" t="str">
        <x:v>Vente</x:v>
      </x:c>
      <x:c r="E10" s="21" t="str">
        <x:v>offer_id</x:v>
      </x:c>
      <x:c r="F10" s="21" t="str">
        <x:v>Prix, quantité, conditions</x:v>
      </x:c>
      <x:c r="G10" s="21" t="str">
        <x:v>Avenant ou version</x:v>
      </x:c>
      <x:c r="H10" s="21" t="str">
        <x:v>Offre datée</x:v>
      </x:c>
      <x:c r="I10" s="123" t="str">
        <x:v>Offre introuvable</x:v>
      </x:c>
      <x:c r="J10" s="19"/>
    </x:row>
    <x:row r="11" ht="15" hidden="0" customHeight="1">
      <x:c r="A11" s="19"/>
      <x:c r="B11" s="21" t="str">
        <x:v>Commande</x:v>
      </x:c>
      <x:c r="C11" s="21" t="str">
        <x:v>ERP / ADV</x:v>
      </x:c>
      <x:c r="D11" s="21" t="str">
        <x:v>ADV</x:v>
      </x:c>
      <x:c r="E11" s="21" t="str">
        <x:v>order_id</x:v>
      </x:c>
      <x:c r="F11" s="21" t="str">
        <x:v>Client contractant</x:v>
      </x:c>
      <x:c r="G11" s="21" t="str">
        <x:v>Correction contrôlée</x:v>
      </x:c>
      <x:c r="H11" s="21" t="str">
        <x:v>Bon de commande</x:v>
      </x:c>
      <x:c r="I11" s="123" t="str">
        <x:v>Entité inconnue</x:v>
      </x:c>
      <x:c r="J11" s="19"/>
    </x:row>
    <x:row r="12" ht="26.399999618530273" hidden="0" customHeight="1">
      <x:c r="A12" s="19"/>
      <x:c r="B12" s="21" t="str">
        <x:v>Facture</x:v>
      </x:c>
      <x:c r="C12" s="21" t="str">
        <x:v>Outil de facturation</x:v>
      </x:c>
      <x:c r="D12" s="21" t="str">
        <x:v>Finance</x:v>
      </x:c>
      <x:c r="E12" s="21" t="str">
        <x:v>invoice_id</x:v>
      </x:c>
      <x:c r="F12" s="21" t="str">
        <x:v>Document et période</x:v>
      </x:c>
      <x:c r="G12" s="21" t="str">
        <x:v>Avoir / réémission</x:v>
      </x:c>
      <x:c r="H12" s="21" t="str">
        <x:v>Facture + statut</x:v>
      </x:c>
      <x:c r="I12" s="123" t="str">
        <x:v>Numérotation incohérente</x:v>
      </x:c>
      <x:c r="J12" s="19"/>
    </x:row>
    <x:row r="13" ht="15" hidden="0" customHeight="1">
      <x:c r="A13" s="19"/>
      <x:c r="B13" s="21" t="str">
        <x:v>Paiement</x:v>
      </x:c>
      <x:c r="C13" s="21" t="str">
        <x:v>PSP / banque</x:v>
      </x:c>
      <x:c r="D13" s="21" t="str">
        <x:v>Finance</x:v>
      </x:c>
      <x:c r="E13" s="21" t="str">
        <x:v>payment_id</x:v>
      </x:c>
      <x:c r="F13" s="21" t="str">
        <x:v>Encaissement</x:v>
      </x:c>
      <x:c r="G13" s="21" t="str">
        <x:v>Rapprochement</x:v>
      </x:c>
      <x:c r="H13" s="21" t="str">
        <x:v>Transaction</x:v>
      </x:c>
      <x:c r="I13" s="123" t="str">
        <x:v>Cash sans pièce</x:v>
      </x:c>
      <x:c r="J13" s="19"/>
    </x:row>
    <x:row r="14" ht="15" hidden="0" customHeight="1">
      <x:c r="A14" s="19"/>
      <x:c r="B14" s="21" t="str">
        <x:v>Droit</x:v>
      </x:c>
      <x:c r="C14" s="21" t="str">
        <x:v>SaaS</x:v>
      </x:c>
      <x:c r="D14" s="21" t="str">
        <x:v>Produit</x:v>
      </x:c>
      <x:c r="E14" s="21" t="str">
        <x:v>entitlement_id</x:v>
      </x:c>
      <x:c r="F14" s="21" t="str">
        <x:v>Fonctions utilisables</x:v>
      </x:c>
      <x:c r="G14" s="21" t="str">
        <x:v>Règle versionnée</x:v>
      </x:c>
      <x:c r="H14" s="21" t="str">
        <x:v>Journal d’accès</x:v>
      </x:c>
      <x:c r="I14" s="123" t="str">
        <x:v>Accès sans règle</x:v>
      </x:c>
      <x:c r="J14" s="19"/>
    </x:row>
    <x:row r="15" ht="15" hidden="0" customHeight="1">
      <x:c r="A15" s="19"/>
      <x:c r="B15" s="21" t="str">
        <x:v>Comptabilité</x:v>
      </x:c>
      <x:c r="C15" s="21" t="str">
        <x:v>Logiciel comptable</x:v>
      </x:c>
      <x:c r="D15" s="21" t="str">
        <x:v>Comptabilité</x:v>
      </x:c>
      <x:c r="E15" s="21" t="str">
        <x:v>entry_id</x:v>
      </x:c>
      <x:c r="F15" s="21" t="str">
        <x:v>Écriture et clôture</x:v>
      </x:c>
      <x:c r="G15" s="21" t="str">
        <x:v>Écriture de correction</x:v>
      </x:c>
      <x:c r="H15" s="21" t="str">
        <x:v>Grand livre</x:v>
      </x:c>
      <x:c r="I15" s="123" t="str">
        <x:v>Clôture non rapprochée</x:v>
      </x:c>
      <x:c r="J15" s="19"/>
    </x:row>
    <x:row r="16" ht="15" hidden="0" customHeight="1">
      <x:c r="A16" s="19"/>
      <x:c r="B16" s="22" t="str">
        <x:v>Événement</x:v>
      </x:c>
      <x:c r="C16" s="22" t="str">
        <x:v>Journal technique</x:v>
      </x:c>
      <x:c r="D16" s="22" t="str">
        <x:v>Technique</x:v>
      </x:c>
      <x:c r="E16" s="22" t="str">
        <x:v>event_id</x:v>
      </x:c>
      <x:c r="F16" s="22" t="str">
        <x:v>Ordre et idempotence</x:v>
      </x:c>
      <x:c r="G16" s="22" t="str">
        <x:v>Rejeu contrôlé</x:v>
      </x:c>
      <x:c r="H16" s="22" t="str">
        <x:v>Horodatage</x:v>
      </x:c>
      <x:c r="I16" s="124" t="str">
        <x:v>Événement perdu</x:v>
      </x:c>
      <x:c r="J16" s="19"/>
    </x:row>
    <x:row r="17" ht="15" hidden="0" customHeight="1">
      <x:c r="A17" s="19"/>
      <x:c r="B17" s="19"/>
      <x:c r="C17" s="19"/>
      <x:c r="D17" s="19"/>
      <x:c r="E17" s="19"/>
      <x:c r="F17" s="19"/>
      <x:c r="G17" s="19"/>
      <x:c r="H17" s="19"/>
      <x:c r="I17" s="19"/>
      <x:c r="J17" s="19"/>
    </x:row>
    <x:row r="18" ht="15" hidden="0" customHeight="1">
      <x:c r="A18" s="19"/>
      <x:c r="B18" s="136" t="str">
        <x:v>Décision Planor</x:v>
      </x:c>
      <x:c r="C18" s="136"/>
      <x:c r="D18" s="136"/>
      <x:c r="E18" s="136"/>
      <x:c r="F18" s="136"/>
      <x:c r="G18" s="136"/>
      <x:c r="H18" s="136"/>
      <x:c r="I18" s="136"/>
      <x:c r="J18" s="19"/>
    </x:row>
    <x:row r="19" ht="15" hidden="0" customHeight="1">
      <x:c r="A19" s="19"/>
      <x:c r="B19" s="125" t="str">
        <x:v>Position par défaut : garder un moteur éprouvé pour les mécanismes génériques, posséder les règles commerciales et les droits d’accès, puis rapprocher chaque mois. Ne pas reconstruire le rail de paiement. Une couche métier n’est justifiée que si les contrats, usages, entités, quantités ou droits ne rentrent pas proprement dans le moteur et que son coût de maintien est assumé.</x:v>
      </x:c>
      <x:c r="C19" s="125"/>
      <x:c r="D19" s="125"/>
      <x:c r="E19" s="125"/>
      <x:c r="F19" s="125"/>
      <x:c r="G19" s="125"/>
      <x:c r="H19" s="125"/>
      <x:c r="I19" s="125"/>
      <x:c r="J19" s="19"/>
    </x:row>
    <x:row r="20" ht="15" hidden="0" customHeight="1">
      <x:c r="A20" s="19"/>
      <x:c r="B20" s="125"/>
      <x:c r="C20" s="125"/>
      <x:c r="D20" s="125"/>
      <x:c r="E20" s="125"/>
      <x:c r="F20" s="125"/>
      <x:c r="G20" s="125"/>
      <x:c r="H20" s="125"/>
      <x:c r="I20" s="125"/>
      <x:c r="J20" s="19"/>
    </x:row>
    <x:row r="21" ht="15" hidden="0" customHeight="1">
      <x:c r="A21" s="19"/>
      <x:c r="B21" s="125"/>
      <x:c r="C21" s="125"/>
      <x:c r="D21" s="125"/>
      <x:c r="E21" s="125"/>
      <x:c r="F21" s="125"/>
      <x:c r="G21" s="125"/>
      <x:c r="H21" s="125"/>
      <x:c r="I21" s="125"/>
      <x:c r="J21" s="19"/>
    </x:row>
  </x:sheetData>
  <x:mergeCells>
    <x:mergeCell ref="A1:J2"/>
    <x:mergeCell ref="A3:J3"/>
    <x:mergeCell ref="B5:I5"/>
    <x:mergeCell ref="B8:I8"/>
    <x:mergeCell ref="B18:I18"/>
    <x:mergeCell ref="B19:I21"/>
  </x:mergeCells>
  <x:pageMargins left="0.7" right="0.7" top="0.75" bottom="0.75" header="0.3" footer="0.3"/>
</x:worksheet>
</file>

<file path=xl/worksheets/sheet9.xml><?xml version="1.0" encoding="utf-8"?>
<x:worksheet xmlns:x="http://schemas.openxmlformats.org/spreadsheetml/2006/main">
  <x:sheetViews>
    <x:sheetView showGridLines="0" workbookViewId="0"/>
  </x:sheetViews>
  <x:sheetFormatPr defaultRowHeight="15"/>
  <x:cols>
    <x:col min="1" max="1" width="4" hidden="0" customWidth="1"/>
    <x:col min="2" max="2" width="35" hidden="0" customWidth="1"/>
    <x:col min="3" max="3" width="20" hidden="0" customWidth="1"/>
    <x:col min="4" max="4" width="20" hidden="0" customWidth="1"/>
    <x:col min="5" max="5" width="16" hidden="0" customWidth="1"/>
    <x:col min="6" max="6" width="28" hidden="0" customWidth="1"/>
    <x:col min="7" max="7" width="28" hidden="0" customWidth="1"/>
    <x:col min="8" max="8" width="4" hidden="0" customWidth="1"/>
  </x:cols>
  <x:sheetData>
    <x:row r="1" ht="28" customHeight="1">
      <x:c r="A1" s="135" t="str">
        <x:v>Contrôles du modèle</x:v>
      </x:c>
      <x:c r="B1" s="135"/>
      <x:c r="C1" s="135"/>
      <x:c r="D1" s="135"/>
      <x:c r="E1" s="135"/>
      <x:c r="F1" s="135"/>
      <x:c r="G1" s="135"/>
      <x:c r="H1" s="135"/>
    </x:row>
    <x:row r="2" ht="28" customHeight="1">
      <x:c r="A2" s="135"/>
      <x:c r="B2" s="135"/>
      <x:c r="C2" s="135"/>
      <x:c r="D2" s="135"/>
      <x:c r="E2" s="135"/>
      <x:c r="F2" s="135"/>
      <x:c r="G2" s="135"/>
      <x:c r="H2" s="135"/>
    </x:row>
    <x:row r="3" ht="15" hidden="0" customHeight="1">
      <x:c r="A3" s="8" t="str">
        <x:v>MODEL STATUS contrôle les équations ; RAPPROCHEMENT STATUS contrôle les données observées. Une donnée manquante déclenche REVIEW / À REVOIR sans être masquée par une formule.</x:v>
      </x:c>
      <x:c r="B3" s="8"/>
      <x:c r="C3" s="8"/>
      <x:c r="D3" s="8"/>
      <x:c r="E3" s="8"/>
      <x:c r="F3" s="8"/>
      <x:c r="G3" s="8"/>
      <x:c r="H3" s="8"/>
    </x:row>
    <x:row r="4" ht="15" hidden="0" customHeight="1">
      <x:c r="A4" s="19"/>
      <x:c r="B4" s="155" t="str">
        <x:f>IF(COUNTIF(F9:F31,"FAIL")&gt;0,"MODEL STATUS: FAIL",IF(COUNTIF(F9:F31,"REVIEW")&gt;0,"MODEL STATUS: REVIEW","MODEL STATUS: PASS"))</x:f>
        <x:v>MODEL STATUS: PASS</x:v>
      </x:c>
      <x:c r="C4" s="155"/>
      <x:c r="D4" s="155"/>
      <x:c r="E4" s="155"/>
      <x:c r="F4" s="155"/>
      <x:c r="G4" s="155"/>
      <x:c r="H4" s="155"/>
    </x:row>
    <x:row r="5" ht="15" hidden="0" customHeight="1">
      <x:c r="A5" s="19"/>
      <x:c r="B5" s="156" t="str">
        <x:f>IF(AND('TCO_24_MOIS'!C7=24,'TCO_24_MOIS'!C8=100,'TCO_24_MOIS'!C9=100,'TCO_24_MOIS'!C10=45,ABS('TCO_24_MOIS'!C11-0.007)&lt;0.0000001),"FIXTURE CENTRALE","FIXTURE MODIFIÉE")</x:f>
        <x:v>FIXTURE CENTRALE</x:v>
      </x:c>
      <x:c r="C5" s="156"/>
      <x:c r="D5" s="156"/>
      <x:c r="E5" s="156"/>
      <x:c r="F5" s="156"/>
      <x:c r="G5" s="156"/>
      <x:c r="H5" s="156"/>
    </x:row>
    <x:row r="6" ht="15" hidden="0" customHeight="1">
      <x:c r="A6" s="19"/>
      <x:c r="B6" s="157" t="str">
        <x:f>IF((IF(COUNT('RAPPROCHEMENT'!C6,'RAPPROCHEMENT'!D6,'RAPPROCHEMENT'!F6,'RAPPROCHEMENT'!G6,'RAPPROCHEMENT'!I6,'RAPPROCHEMENT'!K6)&lt;6,0,IF(OR(ABS('RAPPROCHEMENT'!K6-('RAPPROCHEMENT'!I6+('RAPPROCHEMENT'!C6-'RAPPROCHEMENT'!D6)-'RAPPROCHEMENT'!F6+'RAPPROCHEMENT'!G6))&gt;=0.01,0),1,0))+IF(OR(COUNT('RAPPROCHEMENT'!C7,'RAPPROCHEMENT'!D7,'RAPPROCHEMENT'!F7,'RAPPROCHEMENT'!G7,'RAPPROCHEMENT'!I7,'RAPPROCHEMENT'!K7)&lt;6,COUNT('RAPPROCHEMENT'!K6)=0),0,IF(OR(ABS('RAPPROCHEMENT'!K7-('RAPPROCHEMENT'!I7+('RAPPROCHEMENT'!C7-'RAPPROCHEMENT'!D7)-'RAPPROCHEMENT'!F7+'RAPPROCHEMENT'!G7))&gt;=0.01,ABS('RAPPROCHEMENT'!I7-'RAPPROCHEMENT'!K6)&gt;=0.01),1,0))+IF(OR(COUNT('RAPPROCHEMENT'!C8,'RAPPROCHEMENT'!D8,'RAPPROCHEMENT'!F8,'RAPPROCHEMENT'!G8,'RAPPROCHEMENT'!I8,'RAPPROCHEMENT'!K8)&lt;6,COUNT('RAPPROCHEMENT'!K7)=0),0,IF(OR(ABS('RAPPROCHEMENT'!K8-('RAPPROCHEMENT'!I8+('RAPPROCHEMENT'!C8-'RAPPROCHEMENT'!D8)-'RAPPROCHEMENT'!F8+'RAPPROCHEMENT'!G8))&gt;=0.01,ABS('RAPPROCHEMENT'!I8-'RAPPROCHEMENT'!K7)&gt;=0.01),1,0))+IF(OR(COUNT('RAPPROCHEMENT'!C9,'RAPPROCHEMENT'!D9,'RAPPROCHEMENT'!F9,'RAPPROCHEMENT'!G9,'RAPPROCHEMENT'!I9,'RAPPROCHEMENT'!K9)&lt;6,COUNT('RAPPROCHEMENT'!K8)=0),0,IF(OR(ABS('RAPPROCHEMENT'!K9-('RAPPROCHEMENT'!I9+('RAPPROCHEMENT'!C9-'RAPPROCHEMENT'!D9)-'RAPPROCHEMENT'!F9+'RAPPROCHEMENT'!G9))&gt;=0.01,ABS('RAPPROCHEMENT'!I9-'RAPPROCHEMENT'!K8)&gt;=0.01),1,0))+IF(OR(COUNT('RAPPROCHEMENT'!C10,'RAPPROCHEMENT'!D10,'RAPPROCHEMENT'!F10,'RAPPROCHEMENT'!G10,'RAPPROCHEMENT'!I10,'RAPPROCHEMENT'!K10)&lt;6,COUNT('RAPPROCHEMENT'!K9)=0),0,IF(OR(ABS('RAPPROCHEMENT'!K10-('RAPPROCHEMENT'!I10+('RAPPROCHEMENT'!C10-'RAPPROCHEMENT'!D10)-'RAPPROCHEMENT'!F10+'RAPPROCHEMENT'!G10))&gt;=0.01,ABS('RAPPROCHEMENT'!I10-'RAPPROCHEMENT'!K9)&gt;=0.01),1,0))+IF(OR(COUNT('RAPPROCHEMENT'!C11,'RAPPROCHEMENT'!D11,'RAPPROCHEMENT'!F11,'RAPPROCHEMENT'!G11,'RAPPROCHEMENT'!I11,'RAPPROCHEMENT'!K11)&lt;6,COUNT('RAPPROCHEMENT'!K10)=0),0,IF(OR(ABS('RAPPROCHEMENT'!K11-('RAPPROCHEMENT'!I11+('RAPPROCHEMENT'!C11-'RAPPROCHEMENT'!D11)-'RAPPROCHEMENT'!F11+'RAPPROCHEMENT'!G11))&gt;=0.01,ABS('RAPPROCHEMENT'!I11-'RAPPROCHEMENT'!K10)&gt;=0.01),1,0))+IF(OR(COUNT('RAPPROCHEMENT'!C12,'RAPPROCHEMENT'!D12,'RAPPROCHEMENT'!F12,'RAPPROCHEMENT'!G12,'RAPPROCHEMENT'!I12,'RAPPROCHEMENT'!K12)&lt;6,COUNT('RAPPROCHEMENT'!K11)=0),0,IF(OR(ABS('RAPPROCHEMENT'!K12-('RAPPROCHEMENT'!I12+('RAPPROCHEMENT'!C12-'RAPPROCHEMENT'!D12)-'RAPPROCHEMENT'!F12+'RAPPROCHEMENT'!G12))&gt;=0.01,ABS('RAPPROCHEMENT'!I12-'RAPPROCHEMENT'!K11)&gt;=0.01),1,0))+IF(OR(COUNT('RAPPROCHEMENT'!C13,'RAPPROCHEMENT'!D13,'RAPPROCHEMENT'!F13,'RAPPROCHEMENT'!G13,'RAPPROCHEMENT'!I13,'RAPPROCHEMENT'!K13)&lt;6,COUNT('RAPPROCHEMENT'!K12)=0),0,IF(OR(ABS('RAPPROCHEMENT'!K13-('RAPPROCHEMENT'!I13+('RAPPROCHEMENT'!C13-'RAPPROCHEMENT'!D13)-'RAPPROCHEMENT'!F13+'RAPPROCHEMENT'!G13))&gt;=0.01,ABS('RAPPROCHEMENT'!I13-'RAPPROCHEMENT'!K12)&gt;=0.01),1,0))+IF(OR(COUNT('RAPPROCHEMENT'!C14,'RAPPROCHEMENT'!D14,'RAPPROCHEMENT'!F14,'RAPPROCHEMENT'!G14,'RAPPROCHEMENT'!I14,'RAPPROCHEMENT'!K14)&lt;6,COUNT('RAPPROCHEMENT'!K13)=0),0,IF(OR(ABS('RAPPROCHEMENT'!K14-('RAPPROCHEMENT'!I14+('RAPPROCHEMENT'!C14-'RAPPROCHEMENT'!D14)-'RAPPROCHEMENT'!F14+'RAPPROCHEMENT'!G14))&gt;=0.01,ABS('RAPPROCHEMENT'!I14-'RAPPROCHEMENT'!K13)&gt;=0.01),1,0))+IF(OR(COUNT('RAPPROCHEMENT'!C15,'RAPPROCHEMENT'!D15,'RAPPROCHEMENT'!F15,'RAPPROCHEMENT'!G15,'RAPPROCHEMENT'!I15,'RAPPROCHEMENT'!K15)&lt;6,COUNT('RAPPROCHEMENT'!K14)=0),0,IF(OR(ABS('RAPPROCHEMENT'!K15-('RAPPROCHEMENT'!I15+('RAPPROCHEMENT'!C15-'RAPPROCHEMENT'!D15)-'RAPPROCHEMENT'!F15+'RAPPROCHEMENT'!G15))&gt;=0.01,ABS('RAPPROCHEMENT'!I15-'RAPPROCHEMENT'!K14)&gt;=0.01),1,0))+IF(OR(COUNT('RAPPROCHEMENT'!C16,'RAPPROCHEMENT'!D16,'RAPPROCHEMENT'!F16,'RAPPROCHEMENT'!G16,'RAPPROCHEMENT'!I16,'RAPPROCHEMENT'!K16)&lt;6,COUNT('RAPPROCHEMENT'!K15)=0),0,IF(OR(ABS('RAPPROCHEMENT'!K16-('RAPPROCHEMENT'!I16+('RAPPROCHEMENT'!C16-'RAPPROCHEMENT'!D16)-'RAPPROCHEMENT'!F16+'RAPPROCHEMENT'!G16))&gt;=0.01,ABS('RAPPROCHEMENT'!I16-'RAPPROCHEMENT'!K15)&gt;=0.01),1,0))+IF(OR(COUNT('RAPPROCHEMENT'!C17,'RAPPROCHEMENT'!D17,'RAPPROCHEMENT'!F17,'RAPPROCHEMENT'!G17,'RAPPROCHEMENT'!I17,'RAPPROCHEMENT'!K17)&lt;6,COUNT('RAPPROCHEMENT'!K16)=0),0,IF(OR(ABS('RAPPROCHEMENT'!K17-('RAPPROCHEMENT'!I17+('RAPPROCHEMENT'!C17-'RAPPROCHEMENT'!D17)-'RAPPROCHEMENT'!F17+'RAPPROCHEMENT'!G17))&gt;=0.01,ABS('RAPPROCHEMENT'!I17-'RAPPROCHEMENT'!K16)&gt;=0.01),1,0)))&gt;0,"RAPPROCHEMENT STATUS: STOP",IF((IF(COUNT('RAPPROCHEMENT'!C6,'RAPPROCHEMENT'!D6,'RAPPROCHEMENT'!F6,'RAPPROCHEMENT'!G6,'RAPPROCHEMENT'!I6,'RAPPROCHEMENT'!K6)&lt;6,1,0)+IF(OR(COUNT('RAPPROCHEMENT'!C7,'RAPPROCHEMENT'!D7,'RAPPROCHEMENT'!F7,'RAPPROCHEMENT'!G7,'RAPPROCHEMENT'!I7,'RAPPROCHEMENT'!K7)&lt;6,COUNT('RAPPROCHEMENT'!K6)=0),1,0)+IF(OR(COUNT('RAPPROCHEMENT'!C8,'RAPPROCHEMENT'!D8,'RAPPROCHEMENT'!F8,'RAPPROCHEMENT'!G8,'RAPPROCHEMENT'!I8,'RAPPROCHEMENT'!K8)&lt;6,COUNT('RAPPROCHEMENT'!K7)=0),1,0)+IF(OR(COUNT('RAPPROCHEMENT'!C9,'RAPPROCHEMENT'!D9,'RAPPROCHEMENT'!F9,'RAPPROCHEMENT'!G9,'RAPPROCHEMENT'!I9,'RAPPROCHEMENT'!K9)&lt;6,COUNT('RAPPROCHEMENT'!K8)=0),1,0)+IF(OR(COUNT('RAPPROCHEMENT'!C10,'RAPPROCHEMENT'!D10,'RAPPROCHEMENT'!F10,'RAPPROCHEMENT'!G10,'RAPPROCHEMENT'!I10,'RAPPROCHEMENT'!K10)&lt;6,COUNT('RAPPROCHEMENT'!K9)=0),1,0)+IF(OR(COUNT('RAPPROCHEMENT'!C11,'RAPPROCHEMENT'!D11,'RAPPROCHEMENT'!F11,'RAPPROCHEMENT'!G11,'RAPPROCHEMENT'!I11,'RAPPROCHEMENT'!K11)&lt;6,COUNT('RAPPROCHEMENT'!K10)=0),1,0)+IF(OR(COUNT('RAPPROCHEMENT'!C12,'RAPPROCHEMENT'!D12,'RAPPROCHEMENT'!F12,'RAPPROCHEMENT'!G12,'RAPPROCHEMENT'!I12,'RAPPROCHEMENT'!K12)&lt;6,COUNT('RAPPROCHEMENT'!K11)=0),1,0)+IF(OR(COUNT('RAPPROCHEMENT'!C13,'RAPPROCHEMENT'!D13,'RAPPROCHEMENT'!F13,'RAPPROCHEMENT'!G13,'RAPPROCHEMENT'!I13,'RAPPROCHEMENT'!K13)&lt;6,COUNT('RAPPROCHEMENT'!K12)=0),1,0)+IF(OR(COUNT('RAPPROCHEMENT'!C14,'RAPPROCHEMENT'!D14,'RAPPROCHEMENT'!F14,'RAPPROCHEMENT'!G14,'RAPPROCHEMENT'!I14,'RAPPROCHEMENT'!K14)&lt;6,COUNT('RAPPROCHEMENT'!K13)=0),1,0)+IF(OR(COUNT('RAPPROCHEMENT'!C15,'RAPPROCHEMENT'!D15,'RAPPROCHEMENT'!F15,'RAPPROCHEMENT'!G15,'RAPPROCHEMENT'!I15,'RAPPROCHEMENT'!K15)&lt;6,COUNT('RAPPROCHEMENT'!K14)=0),1,0)+IF(OR(COUNT('RAPPROCHEMENT'!C16,'RAPPROCHEMENT'!D16,'RAPPROCHEMENT'!F16,'RAPPROCHEMENT'!G16,'RAPPROCHEMENT'!I16,'RAPPROCHEMENT'!K16)&lt;6,COUNT('RAPPROCHEMENT'!K15)=0),1,0)+IF(OR(COUNT('RAPPROCHEMENT'!C17,'RAPPROCHEMENT'!D17,'RAPPROCHEMENT'!F17,'RAPPROCHEMENT'!G17,'RAPPROCHEMENT'!I17,'RAPPROCHEMENT'!K17)&lt;6,COUNT('RAPPROCHEMENT'!K16)=0),1,0))&gt;0,"RAPPROCHEMENT STATUS: À REVOIR","RAPPROCHEMENT STATUS: PASS"))</x:f>
        <x:v>RAPPROCHEMENT STATUS: PASS</x:v>
      </x:c>
      <x:c r="C6" s="157"/>
      <x:c r="D6" s="157"/>
      <x:c r="E6" s="157"/>
      <x:c r="F6" s="157"/>
      <x:c r="G6" s="157"/>
      <x:c r="H6" s="157"/>
    </x:row>
    <x:row r="7" ht="15" hidden="0" customHeight="1">
      <x:c r="A7" s="19"/>
      <x:c r="B7" s="19"/>
      <x:c r="C7" s="19"/>
      <x:c r="D7" s="19"/>
      <x:c r="E7" s="19"/>
      <x:c r="F7" s="19"/>
      <x:c r="G7" s="19"/>
      <x:c r="H7" s="19"/>
    </x:row>
    <x:row r="8" ht="15" hidden="0" customHeight="1">
      <x:c r="A8" s="19"/>
      <x:c r="B8" s="40" t="str">
        <x:v>Contrôle</x:v>
      </x:c>
      <x:c r="C8" s="40" t="str">
        <x:v>Valeur</x:v>
      </x:c>
      <x:c r="D8" s="40" t="str">
        <x:v>Recalcul indépendant</x:v>
      </x:c>
      <x:c r="E8" s="40" t="str">
        <x:v>Delta</x:v>
      </x:c>
      <x:c r="F8" s="40" t="str">
        <x:v>Statut</x:v>
      </x:c>
      <x:c r="G8" s="40" t="str">
        <x:v>Où corriger</x:v>
      </x:c>
      <x:c r="H8" s="19"/>
    </x:row>
    <x:row r="9" ht="15" hidden="0" customHeight="1">
      <x:c r="A9" s="19"/>
      <x:c r="B9" s="19" t="str">
        <x:v>TCO — récurrent manuel</x:v>
      </x:c>
      <x:c r="C9" s="158" t="n">
        <x:f>'TCO_24_MOIS'!H7</x:f>
        <x:v>0</x:v>
      </x:c>
      <x:c r="D9" s="158" t="n">
        <x:f>0</x:f>
        <x:v>0</x:v>
      </x:c>
      <x:c r="E9" s="158" t="n">
        <x:f>IF(AND(C9="",D9=""),0,IF(OR(C9="",D9=""),1,C9-D9))</x:f>
        <x:v>0</x:v>
      </x:c>
      <x:c r="F9" s="19" t="str">
        <x:f>IF(ABS(E9)&lt;0.0001,"PASS","FAIL")</x:f>
        <x:v>PASS</x:v>
      </x:c>
      <x:c r="G9" s="19" t="str">
        <x:v>TCO_24_MOIS!H7</x:v>
      </x:c>
      <x:c r="H9" s="19"/>
    </x:row>
    <x:row r="10" ht="15" hidden="0" customHeight="1">
      <x:c r="A10" s="19"/>
      <x:c r="B10" s="19" t="str">
        <x:v>TCO — récurrent hébergé</x:v>
      </x:c>
      <x:c r="C10" s="158" t="n">
        <x:f>'TCO_24_MOIS'!H8</x:f>
        <x:v>3600</x:v>
      </x:c>
      <x:c r="D10" s="158" t="n">
        <x:f>150*'TCO_24_MOIS'!$C$7</x:f>
        <x:v>3600</x:v>
      </x:c>
      <x:c r="E10" s="158" t="n">
        <x:f>IF(AND(C10="",D10=""),0,IF(OR(C10="",D10=""),1,C10-D10))</x:f>
        <x:v>0</x:v>
      </x:c>
      <x:c r="F10" s="19" t="str">
        <x:f>IF(ABS(E10)&lt;0.0001,"PASS","FAIL")</x:f>
        <x:v>PASS</x:v>
      </x:c>
      <x:c r="G10" s="19" t="str">
        <x:v>TCO_24_MOIS!H8</x:v>
      </x:c>
      <x:c r="H10" s="19"/>
    </x:row>
    <x:row r="11" ht="15" hidden="0" customHeight="1">
      <x:c r="A11" s="19"/>
      <x:c r="B11" s="19" t="str">
        <x:v>TCO — récurrent couche</x:v>
      </x:c>
      <x:c r="C11" s="158" t="n">
        <x:f>'TCO_24_MOIS'!H9</x:f>
        <x:v>16800</x:v>
      </x:c>
      <x:c r="D11" s="158" t="n">
        <x:f>700*'TCO_24_MOIS'!$C$7</x:f>
        <x:v>16800</x:v>
      </x:c>
      <x:c r="E11" s="158" t="n">
        <x:f>IF(AND(C11="",D11=""),0,IF(OR(C11="",D11=""),1,C11-D11))</x:f>
        <x:v>0</x:v>
      </x:c>
      <x:c r="F11" s="19" t="str">
        <x:f>IF(ABS(E11)&lt;0.0001,"PASS","FAIL")</x:f>
        <x:v>PASS</x:v>
      </x:c>
      <x:c r="G11" s="19" t="str">
        <x:v>TCO_24_MOIS!H9</x:v>
      </x:c>
      <x:c r="H11" s="19"/>
    </x:row>
    <x:row r="12" ht="15" hidden="0" customHeight="1">
      <x:c r="A12" s="19"/>
      <x:c r="B12" s="19" t="str">
        <x:v>TCO — récurrent spécifique</x:v>
      </x:c>
      <x:c r="C12" s="158" t="n">
        <x:f>'TCO_24_MOIS'!H10</x:f>
        <x:v>36000</x:v>
      </x:c>
      <x:c r="D12" s="158" t="n">
        <x:f>1500*'TCO_24_MOIS'!$C$7</x:f>
        <x:v>36000</x:v>
      </x:c>
      <x:c r="E12" s="158" t="n">
        <x:f>IF(AND(C12="",D12=""),0,IF(OR(C12="",D12=""),1,C12-D12))</x:f>
        <x:v>0</x:v>
      </x:c>
      <x:c r="F12" s="19" t="str">
        <x:f>IF(ABS(E12)&lt;0.0001,"PASS","FAIL")</x:f>
        <x:v>PASS</x:v>
      </x:c>
      <x:c r="G12" s="19" t="str">
        <x:v>TCO_24_MOIS!H10</x:v>
      </x:c>
      <x:c r="H12" s="19"/>
    </x:row>
    <x:row r="13" ht="15" hidden="0" customHeight="1">
      <x:c r="A13" s="19"/>
      <x:c r="B13" s="19" t="str">
        <x:v>TCO — temps/variable manuel</x:v>
      </x:c>
      <x:c r="C13" s="158" t="n">
        <x:f>'TCO_24_MOIS'!I7</x:f>
        <x:v>12960</x:v>
      </x:c>
      <x:c r="D13" s="158" t="n">
        <x:f>'TCO_24_MOIS'!$C$7*'TCO_24_MOIS'!$C$10*(2+0.1*'TCO_24_MOIS'!$C$8)</x:f>
        <x:v>12960</x:v>
      </x:c>
      <x:c r="E13" s="158" t="n">
        <x:f>IF(AND(C13="",D13=""),0,IF(OR(C13="",D13=""),1,C13-D13))</x:f>
        <x:v>0</x:v>
      </x:c>
      <x:c r="F13" s="19" t="str">
        <x:f>IF(ABS(E13)&lt;0.0001,"PASS","FAIL")</x:f>
        <x:v>PASS</x:v>
      </x:c>
      <x:c r="G13" s="19" t="str">
        <x:v>TCO_24_MOIS!I7</x:v>
      </x:c>
      <x:c r="H13" s="19"/>
    </x:row>
    <x:row r="14" ht="15" hidden="0" customHeight="1">
      <x:c r="A14" s="19"/>
      <x:c r="B14" s="19" t="str">
        <x:v>TCO — temps/variable hébergé</x:v>
      </x:c>
      <x:c r="C14" s="158" t="n">
        <x:f>'TCO_24_MOIS'!I8</x:f>
        <x:v>6360.000000000001</x:v>
      </x:c>
      <x:c r="D14" s="158" t="n">
        <x:f>'TCO_24_MOIS'!$C$7*'TCO_24_MOIS'!$C$10*(1+'TCO_24_MOIS'!$C$8/30)+'TCO_24_MOIS'!$C$7*'TCO_24_MOIS'!$C$8*'TCO_24_MOIS'!$C$9*'TCO_24_MOIS'!$C$11</x:f>
        <x:v>6360.000000000001</x:v>
      </x:c>
      <x:c r="E14" s="158" t="n">
        <x:f>IF(AND(C14="",D14=""),0,IF(OR(C14="",D14=""),1,C14-D14))</x:f>
        <x:v>0</x:v>
      </x:c>
      <x:c r="F14" s="19" t="str">
        <x:f>IF(ABS(E14)&lt;0.0001,"PASS","FAIL")</x:f>
        <x:v>PASS</x:v>
      </x:c>
      <x:c r="G14" s="19" t="str">
        <x:v>TCO_24_MOIS!I8</x:v>
      </x:c>
      <x:c r="H14" s="19"/>
    </x:row>
    <x:row r="15" ht="15" hidden="0" customHeight="1">
      <x:c r="A15" s="19"/>
      <x:c r="B15" s="19" t="str">
        <x:v>TCO — temps/variable couche</x:v>
      </x:c>
      <x:c r="C15" s="158" t="n">
        <x:f>'TCO_24_MOIS'!I9</x:f>
        <x:v>4020.0000000000005</x:v>
      </x:c>
      <x:c r="D15" s="158" t="n">
        <x:f>'TCO_24_MOIS'!$C$7*'TCO_24_MOIS'!$C$10*(0.5+'TCO_24_MOIS'!$C$8/60)+'TCO_24_MOIS'!$C$7*'TCO_24_MOIS'!$C$8*'TCO_24_MOIS'!$C$9*'TCO_24_MOIS'!$C$11</x:f>
        <x:v>4020.0000000000005</x:v>
      </x:c>
      <x:c r="E15" s="158" t="n">
        <x:f>IF(AND(C15="",D15=""),0,IF(OR(C15="",D15=""),1,C15-D15))</x:f>
        <x:v>0</x:v>
      </x:c>
      <x:c r="F15" s="19" t="str">
        <x:f>IF(ABS(E15)&lt;0.0001,"PASS","FAIL")</x:f>
        <x:v>PASS</x:v>
      </x:c>
      <x:c r="G15" s="19" t="str">
        <x:v>TCO_24_MOIS!I9</x:v>
      </x:c>
      <x:c r="H15" s="19"/>
    </x:row>
    <x:row r="16" ht="15" hidden="0" customHeight="1">
      <x:c r="A16" s="19"/>
      <x:c r="B16" s="19" t="str">
        <x:v>TCO — temps/variable spécifique</x:v>
      </x:c>
      <x:c r="C16" s="158" t="n">
        <x:f>'TCO_24_MOIS'!I10</x:f>
        <x:v>2160</x:v>
      </x:c>
      <x:c r="D16" s="158" t="n">
        <x:f>'TCO_24_MOIS'!$C$7*'TCO_24_MOIS'!$C$10*(1+'TCO_24_MOIS'!$C$8/100)</x:f>
        <x:v>2160</x:v>
      </x:c>
      <x:c r="E16" s="158" t="n">
        <x:f>IF(AND(C16="",D16=""),0,IF(OR(C16="",D16=""),1,C16-D16))</x:f>
        <x:v>0</x:v>
      </x:c>
      <x:c r="F16" s="19" t="str">
        <x:f>IF(ABS(E16)&lt;0.0001,"PASS","FAIL")</x:f>
        <x:v>PASS</x:v>
      </x:c>
      <x:c r="G16" s="19" t="str">
        <x:v>TCO_24_MOIS!I10</x:v>
      </x:c>
      <x:c r="H16" s="19"/>
    </x:row>
    <x:row r="17" ht="15" hidden="0" customHeight="1">
      <x:c r="A17" s="19"/>
      <x:c r="B17" s="19" t="str">
        <x:v>TCO — total manuel</x:v>
      </x:c>
      <x:c r="C17" s="158" t="n">
        <x:f>'TCO_24_MOIS'!J7</x:f>
        <x:v>12960</x:v>
      </x:c>
      <x:c r="D17" s="158" t="n">
        <x:f>'TCO_24_MOIS'!G7+'TCO_24_MOIS'!H7+'TCO_24_MOIS'!I7</x:f>
        <x:v>12960</x:v>
      </x:c>
      <x:c r="E17" s="158" t="n">
        <x:f>IF(AND(C17="",D17=""),0,IF(OR(C17="",D17=""),1,C17-D17))</x:f>
        <x:v>0</x:v>
      </x:c>
      <x:c r="F17" s="19" t="str">
        <x:f>IF(ABS(E17)&lt;0.0001,"PASS","FAIL")</x:f>
        <x:v>PASS</x:v>
      </x:c>
      <x:c r="G17" s="19" t="str">
        <x:v>TCO_24_MOIS!J7</x:v>
      </x:c>
      <x:c r="H17" s="19"/>
    </x:row>
    <x:row r="18" ht="15" hidden="0" customHeight="1">
      <x:c r="A18" s="19"/>
      <x:c r="B18" s="19" t="str">
        <x:v>TCO — total hébergé</x:v>
      </x:c>
      <x:c r="C18" s="158" t="n">
        <x:f>'TCO_24_MOIS'!J8</x:f>
        <x:v>12760</x:v>
      </x:c>
      <x:c r="D18" s="158" t="n">
        <x:f>'TCO_24_MOIS'!G8+'TCO_24_MOIS'!H8+'TCO_24_MOIS'!I8</x:f>
        <x:v>12760</x:v>
      </x:c>
      <x:c r="E18" s="158" t="n">
        <x:f>IF(AND(C18="",D18=""),0,IF(OR(C18="",D18=""),1,C18-D18))</x:f>
        <x:v>0</x:v>
      </x:c>
      <x:c r="F18" s="19" t="str">
        <x:f>IF(ABS(E18)&lt;0.0001,"PASS","FAIL")</x:f>
        <x:v>PASS</x:v>
      </x:c>
      <x:c r="G18" s="19" t="str">
        <x:v>TCO_24_MOIS!J8</x:v>
      </x:c>
      <x:c r="H18" s="19"/>
    </x:row>
    <x:row r="19" ht="15" hidden="0" customHeight="1">
      <x:c r="A19" s="19"/>
      <x:c r="B19" s="19" t="str">
        <x:v>TCO — total couche</x:v>
      </x:c>
      <x:c r="C19" s="158" t="n">
        <x:f>'TCO_24_MOIS'!J9</x:f>
        <x:v>34820</x:v>
      </x:c>
      <x:c r="D19" s="158" t="n">
        <x:f>'TCO_24_MOIS'!G9+'TCO_24_MOIS'!H9+'TCO_24_MOIS'!I9</x:f>
        <x:v>34820</x:v>
      </x:c>
      <x:c r="E19" s="158" t="n">
        <x:f>IF(AND(C19="",D19=""),0,IF(OR(C19="",D19=""),1,C19-D19))</x:f>
        <x:v>0</x:v>
      </x:c>
      <x:c r="F19" s="19" t="str">
        <x:f>IF(ABS(E19)&lt;0.0001,"PASS","FAIL")</x:f>
        <x:v>PASS</x:v>
      </x:c>
      <x:c r="G19" s="19" t="str">
        <x:v>TCO_24_MOIS!J9</x:v>
      </x:c>
      <x:c r="H19" s="19"/>
    </x:row>
    <x:row r="20" ht="15" hidden="0" customHeight="1">
      <x:c r="A20" s="19"/>
      <x:c r="B20" s="19" t="str">
        <x:v>TCO — total spécifique</x:v>
      </x:c>
      <x:c r="C20" s="158" t="n">
        <x:f>'TCO_24_MOIS'!J10</x:f>
        <x:v>98160</x:v>
      </x:c>
      <x:c r="D20" s="158" t="n">
        <x:f>'TCO_24_MOIS'!G10+'TCO_24_MOIS'!H10+'TCO_24_MOIS'!I10</x:f>
        <x:v>98160</x:v>
      </x:c>
      <x:c r="E20" s="158" t="n">
        <x:f>IF(AND(C20="",D20=""),0,IF(OR(C20="",D20=""),1,C20-D20))</x:f>
        <x:v>0</x:v>
      </x:c>
      <x:c r="F20" s="19" t="str">
        <x:f>IF(ABS(E20)&lt;0.0001,"PASS","FAIL")</x:f>
        <x:v>PASS</x:v>
      </x:c>
      <x:c r="G20" s="19" t="str">
        <x:v>TCO_24_MOIS!J10</x:v>
      </x:c>
      <x:c r="H20" s="19"/>
    </x:row>
    <x:row r="21" ht="15" hidden="0" customHeight="1">
      <x:c r="A21" s="19"/>
      <x:c r="B21" s="19" t="str">
        <x:v>Seuil — sensibilité ligne 22</x:v>
      </x:c>
      <x:c r="C21" s="158" t="n">
        <x:f>'TCO_24_MOIS'!E22</x:f>
        <x:v>182.05128205128202</x:v>
      </x:c>
      <x:c r="D21" s="158" t="n">
        <x:f>IF(ABS(('TCO_24_MOIS'!$C$7*'TCO_24_MOIS'!B22*(0.1-1/30)-'TCO_24_MOIS'!$C$7*'TCO_24_MOIS'!C22*'TCO_24_MOIS'!D22))&lt;0.000000001,"",IF((2800+'TCO_24_MOIS'!$C$7*150-'TCO_24_MOIS'!$C$7*'TCO_24_MOIS'!B22)/('TCO_24_MOIS'!$C$7*'TCO_24_MOIS'!B22*(0.1-1/30)-'TCO_24_MOIS'!$C$7*'TCO_24_MOIS'!C22*'TCO_24_MOIS'!D22)&lt;=0,"",(2800+'TCO_24_MOIS'!$C$7*150-'TCO_24_MOIS'!$C$7*'TCO_24_MOIS'!B22)/('TCO_24_MOIS'!$C$7*'TCO_24_MOIS'!B22*(0.1-1/30)-'TCO_24_MOIS'!$C$7*'TCO_24_MOIS'!C22*'TCO_24_MOIS'!D22)))</x:f>
        <x:v>182.05128205128202</x:v>
      </x:c>
      <x:c r="E21" s="158" t="n">
        <x:f>IF(AND(C21="",D21=""),0,IF(OR(C21="",D21=""),1,C21-D21))</x:f>
        <x:v>0</x:v>
      </x:c>
      <x:c r="F21" s="19" t="str">
        <x:f>IF(ABS(E21)&lt;0.0001,"PASS","FAIL")</x:f>
        <x:v>PASS</x:v>
      </x:c>
      <x:c r="G21" s="19" t="str">
        <x:v>TCO_24_MOIS!E22</x:v>
      </x:c>
      <x:c r="H21" s="19"/>
    </x:row>
    <x:row r="22" ht="15" hidden="0" customHeight="1">
      <x:c r="A22" s="19"/>
      <x:c r="B22" s="19" t="str">
        <x:v>Seuil — sensibilité ligne 23</x:v>
      </x:c>
      <x:c r="C22" s="158" t="n">
        <x:f>'TCO_24_MOIS'!E23</x:f>
        <x:v>96.37681159420286</x:v>
      </x:c>
      <x:c r="D22" s="158" t="n">
        <x:f>IF(ABS(('TCO_24_MOIS'!$C$7*'TCO_24_MOIS'!B23*(0.1-1/30)-'TCO_24_MOIS'!$C$7*'TCO_24_MOIS'!C23*'TCO_24_MOIS'!D23))&lt;0.000000001,"",IF((2800+'TCO_24_MOIS'!$C$7*150-'TCO_24_MOIS'!$C$7*'TCO_24_MOIS'!B23)/('TCO_24_MOIS'!$C$7*'TCO_24_MOIS'!B23*(0.1-1/30)-'TCO_24_MOIS'!$C$7*'TCO_24_MOIS'!C23*'TCO_24_MOIS'!D23)&lt;=0,"",(2800+'TCO_24_MOIS'!$C$7*150-'TCO_24_MOIS'!$C$7*'TCO_24_MOIS'!B23)/('TCO_24_MOIS'!$C$7*'TCO_24_MOIS'!B23*(0.1-1/30)-'TCO_24_MOIS'!$C$7*'TCO_24_MOIS'!C23*'TCO_24_MOIS'!D23)))</x:f>
        <x:v>96.37681159420286</x:v>
      </x:c>
      <x:c r="E22" s="158" t="n">
        <x:f>IF(AND(C22="",D22=""),0,IF(OR(C22="",D22=""),1,C22-D22))</x:f>
        <x:v>0</x:v>
      </x:c>
      <x:c r="F22" s="19" t="str">
        <x:f>IF(ABS(E22)&lt;0.0001,"PASS","FAIL")</x:f>
        <x:v>PASS</x:v>
      </x:c>
      <x:c r="G22" s="19" t="str">
        <x:v>TCO_24_MOIS!E23</x:v>
      </x:c>
      <x:c r="H22" s="19"/>
    </x:row>
    <x:row r="23" ht="15" hidden="0" customHeight="1">
      <x:c r="A23" s="19"/>
      <x:c r="B23" s="19" t="str">
        <x:v>Seuil — sensibilité ligne 24</x:v>
      </x:c>
      <x:c r="C23" s="158" t="n">
        <x:f>'TCO_24_MOIS'!E24</x:f>
        <x:v>49.57983193277309</x:v>
      </x:c>
      <x:c r="D23" s="158" t="n">
        <x:f>IF(ABS(('TCO_24_MOIS'!$C$7*'TCO_24_MOIS'!B24*(0.1-1/30)-'TCO_24_MOIS'!$C$7*'TCO_24_MOIS'!C24*'TCO_24_MOIS'!D24))&lt;0.000000001,"",IF((2800+'TCO_24_MOIS'!$C$7*150-'TCO_24_MOIS'!$C$7*'TCO_24_MOIS'!B24)/('TCO_24_MOIS'!$C$7*'TCO_24_MOIS'!B24*(0.1-1/30)-'TCO_24_MOIS'!$C$7*'TCO_24_MOIS'!C24*'TCO_24_MOIS'!D24)&lt;=0,"",(2800+'TCO_24_MOIS'!$C$7*150-'TCO_24_MOIS'!$C$7*'TCO_24_MOIS'!B24)/('TCO_24_MOIS'!$C$7*'TCO_24_MOIS'!B24*(0.1-1/30)-'TCO_24_MOIS'!$C$7*'TCO_24_MOIS'!C24*'TCO_24_MOIS'!D24)))</x:f>
        <x:v>49.57983193277309</x:v>
      </x:c>
      <x:c r="E23" s="158" t="n">
        <x:f>IF(AND(C23="",D23=""),0,IF(OR(C23="",D23=""),1,C23-D23))</x:f>
        <x:v>0</x:v>
      </x:c>
      <x:c r="F23" s="19" t="str">
        <x:f>IF(ABS(E23)&lt;0.0001,"PASS","FAIL")</x:f>
        <x:v>PASS</x:v>
      </x:c>
      <x:c r="G23" s="19" t="str">
        <x:v>TCO_24_MOIS!E24</x:v>
      </x:c>
      <x:c r="H23" s="19"/>
    </x:row>
    <x:row r="24" ht="15" hidden="0" customHeight="1">
      <x:c r="A24" s="19"/>
      <x:c r="B24" s="19" t="str">
        <x:v>Seuil — sensibilité ligne 25</x:v>
      </x:c>
      <x:c r="C24" s="158" t="n">
        <x:f>'TCO_24_MOIS'!E25</x:f>
        <x:v>246.2962962962961</x:v>
      </x:c>
      <x:c r="D24" s="158" t="n">
        <x:f>IF(ABS(('TCO_24_MOIS'!$C$7*'TCO_24_MOIS'!B25*(0.1-1/30)-'TCO_24_MOIS'!$C$7*'TCO_24_MOIS'!C25*'TCO_24_MOIS'!D25))&lt;0.000000001,"",IF((2800+'TCO_24_MOIS'!$C$7*150-'TCO_24_MOIS'!$C$7*'TCO_24_MOIS'!B25)/('TCO_24_MOIS'!$C$7*'TCO_24_MOIS'!B25*(0.1-1/30)-'TCO_24_MOIS'!$C$7*'TCO_24_MOIS'!C25*'TCO_24_MOIS'!D25)&lt;=0,"",(2800+'TCO_24_MOIS'!$C$7*150-'TCO_24_MOIS'!$C$7*'TCO_24_MOIS'!B25)/('TCO_24_MOIS'!$C$7*'TCO_24_MOIS'!B25*(0.1-1/30)-'TCO_24_MOIS'!$C$7*'TCO_24_MOIS'!C25*'TCO_24_MOIS'!D25)))</x:f>
        <x:v>246.2962962962961</x:v>
      </x:c>
      <x:c r="E24" s="158" t="n">
        <x:f>IF(AND(C24="",D24=""),0,IF(OR(C24="",D24=""),1,C24-D24))</x:f>
        <x:v>0</x:v>
      </x:c>
      <x:c r="F24" s="19" t="str">
        <x:f>IF(ABS(E24)&lt;0.0001,"PASS","FAIL")</x:f>
        <x:v>PASS</x:v>
      </x:c>
      <x:c r="G24" s="19" t="str">
        <x:v>TCO_24_MOIS!E25</x:v>
      </x:c>
      <x:c r="H24" s="19"/>
    </x:row>
    <x:row r="25" ht="15" hidden="0" customHeight="1">
      <x:c r="A25" s="19"/>
      <x:c r="B25" s="19" t="str">
        <x:v>Seuil — sensibilité ligne 26</x:v>
      </x:c>
      <x:c r="C25" s="158" t="n">
        <x:f>'TCO_24_MOIS'!E26</x:f>
        <x:v>73.88888888888887</x:v>
      </x:c>
      <x:c r="D25" s="158" t="n">
        <x:f>IF(ABS(('TCO_24_MOIS'!$C$7*'TCO_24_MOIS'!B26*(0.1-1/30)-'TCO_24_MOIS'!$C$7*'TCO_24_MOIS'!C26*'TCO_24_MOIS'!D26))&lt;0.000000001,"",IF((2800+'TCO_24_MOIS'!$C$7*150-'TCO_24_MOIS'!$C$7*'TCO_24_MOIS'!B26)/('TCO_24_MOIS'!$C$7*'TCO_24_MOIS'!B26*(0.1-1/30)-'TCO_24_MOIS'!$C$7*'TCO_24_MOIS'!C26*'TCO_24_MOIS'!D26)&lt;=0,"",(2800+'TCO_24_MOIS'!$C$7*150-'TCO_24_MOIS'!$C$7*'TCO_24_MOIS'!B26)/('TCO_24_MOIS'!$C$7*'TCO_24_MOIS'!B26*(0.1-1/30)-'TCO_24_MOIS'!$C$7*'TCO_24_MOIS'!C26*'TCO_24_MOIS'!D26)))</x:f>
        <x:v>73.88888888888887</x:v>
      </x:c>
      <x:c r="E25" s="158" t="n">
        <x:f>IF(AND(C25="",D25=""),0,IF(OR(C25="",D25=""),1,C25-D25))</x:f>
        <x:v>0</x:v>
      </x:c>
      <x:c r="F25" s="19" t="str">
        <x:f>IF(ABS(E25)&lt;0.0001,"PASS","FAIL")</x:f>
        <x:v>PASS</x:v>
      </x:c>
      <x:c r="G25" s="19" t="str">
        <x:v>TCO_24_MOIS!E26</x:v>
      </x:c>
      <x:c r="H25" s="19"/>
    </x:row>
    <x:row r="26" ht="15" hidden="0" customHeight="1">
      <x:c r="A26" s="19"/>
      <x:c r="B26" s="19" t="str">
        <x:v>Seuil — lecture et gagnants</x:v>
      </x:c>
      <x:c r="C26" s="158" t="n">
        <x:f>IF('TCO_24_MOIS'!F22=IF(ABS(('TCO_24_MOIS'!$C$7*'TCO_24_MOIS'!B22*(0.1-1/30)-'TCO_24_MOIS'!$C$7*'TCO_24_MOIS'!C22*'TCO_24_MOIS'!D22))&lt;0.000000001,IF(ABS((2800+'TCO_24_MOIS'!$C$7*150-'TCO_24_MOIS'!$C$7*'TCO_24_MOIS'!B22))&lt;0.000000001,"Égalité à tous les volumes","Lignes parallèles ; "&amp;IF(('TCO_24_MOIS'!$C$7*'TCO_24_MOIS'!B22*2)&lt;(2800+'TCO_24_MOIS'!$C$7*150+'TCO_24_MOIS'!$C$7*'TCO_24_MOIS'!B22),"manuel dominant","hébergé dominant")),IF((2800+'TCO_24_MOIS'!$C$7*150-'TCO_24_MOIS'!$C$7*'TCO_24_MOIS'!B22)/('TCO_24_MOIS'!$C$7*'TCO_24_MOIS'!B22*(0.1-1/30)-'TCO_24_MOIS'!$C$7*'TCO_24_MOIS'!C22*'TCO_24_MOIS'!D22)&lt;=0,"Aucun seuil positif ; "&amp;IF(('TCO_24_MOIS'!$C$7*'TCO_24_MOIS'!B22*2)&lt;=(2800+'TCO_24_MOIS'!$C$7*150+'TCO_24_MOIS'!$C$7*'TCO_24_MOIS'!B22),"manuel dominant","hébergé dominant"),(INT(ROUND((2800+'TCO_24_MOIS'!$C$7*150-'TCO_24_MOIS'!$C$7*'TCO_24_MOIS'!B22)/('TCO_24_MOIS'!$C$7*'TCO_24_MOIS'!B22*(0.1-1/30)-'TCO_24_MOIS'!$C$7*'TCO_24_MOIS'!C22*'TCO_24_MOIS'!D22),9))+1)&amp;" clients ; dessous : "&amp;IF(('TCO_24_MOIS'!$C$7*'TCO_24_MOIS'!B22*2)&lt;=(2800+'TCO_24_MOIS'!$C$7*150+'TCO_24_MOIS'!$C$7*'TCO_24_MOIS'!B22),"manuel","hébergé")&amp;" ; dessus : "&amp;IF(('TCO_24_MOIS'!$C$7*'TCO_24_MOIS'!B22*2)&lt;=(2800+'TCO_24_MOIS'!$C$7*150+'TCO_24_MOIS'!$C$7*'TCO_24_MOIS'!B22),"hébergé","manuel"))),0,1)+IF('TCO_24_MOIS'!F23=IF(ABS(('TCO_24_MOIS'!$C$7*'TCO_24_MOIS'!B23*(0.1-1/30)-'TCO_24_MOIS'!$C$7*'TCO_24_MOIS'!C23*'TCO_24_MOIS'!D23))&lt;0.000000001,IF(ABS((2800+'TCO_24_MOIS'!$C$7*150-'TCO_24_MOIS'!$C$7*'TCO_24_MOIS'!B23))&lt;0.000000001,"Égalité à tous les volumes","Lignes parallèles ; "&amp;IF(('TCO_24_MOIS'!$C$7*'TCO_24_MOIS'!B23*2)&lt;(2800+'TCO_24_MOIS'!$C$7*150+'TCO_24_MOIS'!$C$7*'TCO_24_MOIS'!B23),"manuel dominant","hébergé dominant")),IF((2800+'TCO_24_MOIS'!$C$7*150-'TCO_24_MOIS'!$C$7*'TCO_24_MOIS'!B23)/('TCO_24_MOIS'!$C$7*'TCO_24_MOIS'!B23*(0.1-1/30)-'TCO_24_MOIS'!$C$7*'TCO_24_MOIS'!C23*'TCO_24_MOIS'!D23)&lt;=0,"Aucun seuil positif ; "&amp;IF(('TCO_24_MOIS'!$C$7*'TCO_24_MOIS'!B23*2)&lt;=(2800+'TCO_24_MOIS'!$C$7*150+'TCO_24_MOIS'!$C$7*'TCO_24_MOIS'!B23),"manuel dominant","hébergé dominant"),(INT(ROUND((2800+'TCO_24_MOIS'!$C$7*150-'TCO_24_MOIS'!$C$7*'TCO_24_MOIS'!B23)/('TCO_24_MOIS'!$C$7*'TCO_24_MOIS'!B23*(0.1-1/30)-'TCO_24_MOIS'!$C$7*'TCO_24_MOIS'!C23*'TCO_24_MOIS'!D23),9))+1)&amp;" clients ; dessous : "&amp;IF(('TCO_24_MOIS'!$C$7*'TCO_24_MOIS'!B23*2)&lt;=(2800+'TCO_24_MOIS'!$C$7*150+'TCO_24_MOIS'!$C$7*'TCO_24_MOIS'!B23),"manuel","hébergé")&amp;" ; dessus : "&amp;IF(('TCO_24_MOIS'!$C$7*'TCO_24_MOIS'!B23*2)&lt;=(2800+'TCO_24_MOIS'!$C$7*150+'TCO_24_MOIS'!$C$7*'TCO_24_MOIS'!B23),"hébergé","manuel"))),0,1)+IF('TCO_24_MOIS'!F24=IF(ABS(('TCO_24_MOIS'!$C$7*'TCO_24_MOIS'!B24*(0.1-1/30)-'TCO_24_MOIS'!$C$7*'TCO_24_MOIS'!C24*'TCO_24_MOIS'!D24))&lt;0.000000001,IF(ABS((2800+'TCO_24_MOIS'!$C$7*150-'TCO_24_MOIS'!$C$7*'TCO_24_MOIS'!B24))&lt;0.000000001,"Égalité à tous les volumes","Lignes parallèles ; "&amp;IF(('TCO_24_MOIS'!$C$7*'TCO_24_MOIS'!B24*2)&lt;(2800+'TCO_24_MOIS'!$C$7*150+'TCO_24_MOIS'!$C$7*'TCO_24_MOIS'!B24),"manuel dominant","hébergé dominant")),IF((2800+'TCO_24_MOIS'!$C$7*150-'TCO_24_MOIS'!$C$7*'TCO_24_MOIS'!B24)/('TCO_24_MOIS'!$C$7*'TCO_24_MOIS'!B24*(0.1-1/30)-'TCO_24_MOIS'!$C$7*'TCO_24_MOIS'!C24*'TCO_24_MOIS'!D24)&lt;=0,"Aucun seuil positif ; "&amp;IF(('TCO_24_MOIS'!$C$7*'TCO_24_MOIS'!B24*2)&lt;=(2800+'TCO_24_MOIS'!$C$7*150+'TCO_24_MOIS'!$C$7*'TCO_24_MOIS'!B24),"manuel dominant","hébergé dominant"),(INT(ROUND((2800+'TCO_24_MOIS'!$C$7*150-'TCO_24_MOIS'!$C$7*'TCO_24_MOIS'!B24)/('TCO_24_MOIS'!$C$7*'TCO_24_MOIS'!B24*(0.1-1/30)-'TCO_24_MOIS'!$C$7*'TCO_24_MOIS'!C24*'TCO_24_MOIS'!D24),9))+1)&amp;" clients ; dessous : "&amp;IF(('TCO_24_MOIS'!$C$7*'TCO_24_MOIS'!B24*2)&lt;=(2800+'TCO_24_MOIS'!$C$7*150+'TCO_24_MOIS'!$C$7*'TCO_24_MOIS'!B24),"manuel","hébergé")&amp;" ; dessus : "&amp;IF(('TCO_24_MOIS'!$C$7*'TCO_24_MOIS'!B24*2)&lt;=(2800+'TCO_24_MOIS'!$C$7*150+'TCO_24_MOIS'!$C$7*'TCO_24_MOIS'!B24),"hébergé","manuel"))),0,1)+IF('TCO_24_MOIS'!F25=IF(ABS(('TCO_24_MOIS'!$C$7*'TCO_24_MOIS'!B25*(0.1-1/30)-'TCO_24_MOIS'!$C$7*'TCO_24_MOIS'!C25*'TCO_24_MOIS'!D25))&lt;0.000000001,IF(ABS((2800+'TCO_24_MOIS'!$C$7*150-'TCO_24_MOIS'!$C$7*'TCO_24_MOIS'!B25))&lt;0.000000001,"Égalité à tous les volumes","Lignes parallèles ; "&amp;IF(('TCO_24_MOIS'!$C$7*'TCO_24_MOIS'!B25*2)&lt;(2800+'TCO_24_MOIS'!$C$7*150+'TCO_24_MOIS'!$C$7*'TCO_24_MOIS'!B25),"manuel dominant","hébergé dominant")),IF((2800+'TCO_24_MOIS'!$C$7*150-'TCO_24_MOIS'!$C$7*'TCO_24_MOIS'!B25)/('TCO_24_MOIS'!$C$7*'TCO_24_MOIS'!B25*(0.1-1/30)-'TCO_24_MOIS'!$C$7*'TCO_24_MOIS'!C25*'TCO_24_MOIS'!D25)&lt;=0,"Aucun seuil positif ; "&amp;IF(('TCO_24_MOIS'!$C$7*'TCO_24_MOIS'!B25*2)&lt;=(2800+'TCO_24_MOIS'!$C$7*150+'TCO_24_MOIS'!$C$7*'TCO_24_MOIS'!B25),"manuel dominant","hébergé dominant"),(INT(ROUND((2800+'TCO_24_MOIS'!$C$7*150-'TCO_24_MOIS'!$C$7*'TCO_24_MOIS'!B25)/('TCO_24_MOIS'!$C$7*'TCO_24_MOIS'!B25*(0.1-1/30)-'TCO_24_MOIS'!$C$7*'TCO_24_MOIS'!C25*'TCO_24_MOIS'!D25),9))+1)&amp;" clients ; dessous : "&amp;IF(('TCO_24_MOIS'!$C$7*'TCO_24_MOIS'!B25*2)&lt;=(2800+'TCO_24_MOIS'!$C$7*150+'TCO_24_MOIS'!$C$7*'TCO_24_MOIS'!B25),"manuel","hébergé")&amp;" ; dessus : "&amp;IF(('TCO_24_MOIS'!$C$7*'TCO_24_MOIS'!B25*2)&lt;=(2800+'TCO_24_MOIS'!$C$7*150+'TCO_24_MOIS'!$C$7*'TCO_24_MOIS'!B25),"hébergé","manuel"))),0,1)+IF('TCO_24_MOIS'!F26=IF(ABS(('TCO_24_MOIS'!$C$7*'TCO_24_MOIS'!B26*(0.1-1/30)-'TCO_24_MOIS'!$C$7*'TCO_24_MOIS'!C26*'TCO_24_MOIS'!D26))&lt;0.000000001,IF(ABS((2800+'TCO_24_MOIS'!$C$7*150-'TCO_24_MOIS'!$C$7*'TCO_24_MOIS'!B26))&lt;0.000000001,"Égalité à tous les volumes","Lignes parallèles ; "&amp;IF(('TCO_24_MOIS'!$C$7*'TCO_24_MOIS'!B26*2)&lt;(2800+'TCO_24_MOIS'!$C$7*150+'TCO_24_MOIS'!$C$7*'TCO_24_MOIS'!B26),"manuel dominant","hébergé dominant")),IF((2800+'TCO_24_MOIS'!$C$7*150-'TCO_24_MOIS'!$C$7*'TCO_24_MOIS'!B26)/('TCO_24_MOIS'!$C$7*'TCO_24_MOIS'!B26*(0.1-1/30)-'TCO_24_MOIS'!$C$7*'TCO_24_MOIS'!C26*'TCO_24_MOIS'!D26)&lt;=0,"Aucun seuil positif ; "&amp;IF(('TCO_24_MOIS'!$C$7*'TCO_24_MOIS'!B26*2)&lt;=(2800+'TCO_24_MOIS'!$C$7*150+'TCO_24_MOIS'!$C$7*'TCO_24_MOIS'!B26),"manuel dominant","hébergé dominant"),(INT(ROUND((2800+'TCO_24_MOIS'!$C$7*150-'TCO_24_MOIS'!$C$7*'TCO_24_MOIS'!B26)/('TCO_24_MOIS'!$C$7*'TCO_24_MOIS'!B26*(0.1-1/30)-'TCO_24_MOIS'!$C$7*'TCO_24_MOIS'!C26*'TCO_24_MOIS'!D26),9))+1)&amp;" clients ; dessous : "&amp;IF(('TCO_24_MOIS'!$C$7*'TCO_24_MOIS'!B26*2)&lt;=(2800+'TCO_24_MOIS'!$C$7*150+'TCO_24_MOIS'!$C$7*'TCO_24_MOIS'!B26),"manuel","hébergé")&amp;" ; dessus : "&amp;IF(('TCO_24_MOIS'!$C$7*'TCO_24_MOIS'!B26*2)&lt;=(2800+'TCO_24_MOIS'!$C$7*150+'TCO_24_MOIS'!$C$7*'TCO_24_MOIS'!B26),"hébergé","manuel"))),0,1)</x:f>
        <x:v>0</x:v>
      </x:c>
      <x:c r="D26" s="158" t="n">
        <x:f>0</x:f>
        <x:v>0</x:v>
      </x:c>
      <x:c r="E26" s="158" t="n">
        <x:f>IF(AND(C26="",D26=""),0,IF(OR(C26="",D26=""),1,C26-D26))</x:f>
        <x:v>0</x:v>
      </x:c>
      <x:c r="F26" s="19" t="str">
        <x:f>IF(ABS(E26)&lt;0.0001,"PASS","FAIL")</x:f>
        <x:v>PASS</x:v>
      </x:c>
      <x:c r="G26" s="19" t="str">
        <x:v>TCO_24_MOIS!F22:F26</x:v>
      </x:c>
      <x:c r="H26" s="19"/>
    </x:row>
    <x:row r="27" ht="15" hidden="0" customHeight="1">
      <x:c r="A27" s="19"/>
      <x:c r="B27" s="19" t="str">
        <x:v>MRR — équations et chaînage</x:v>
      </x:c>
      <x:c r="C27" s="158" t="n">
        <x:f>ABS('MRR'!H6-('MRR'!C6+'MRR'!D6+'MRR'!E6-'MRR'!F6-'MRR'!G6))+ABS('MRR'!I6-'MRR'!H6*12)+ABS('MRR'!H7-('MRR'!C7+'MRR'!D7+'MRR'!E7-'MRR'!F7-'MRR'!G7))+ABS('MRR'!I7-'MRR'!H7*12)+ABS('MRR'!H8-('MRR'!C8+'MRR'!D8+'MRR'!E8-'MRR'!F8-'MRR'!G8))+ABS('MRR'!I8-'MRR'!H8*12)+ABS('MRR'!H9-('MRR'!C9+'MRR'!D9+'MRR'!E9-'MRR'!F9-'MRR'!G9))+ABS('MRR'!I9-'MRR'!H9*12)+ABS('MRR'!H10-('MRR'!C10+'MRR'!D10+'MRR'!E10-'MRR'!F10-'MRR'!G10))+ABS('MRR'!I10-'MRR'!H10*12)+ABS('MRR'!H11-('MRR'!C11+'MRR'!D11+'MRR'!E11-'MRR'!F11-'MRR'!G11))+ABS('MRR'!I11-'MRR'!H11*12)+ABS('MRR'!H12-('MRR'!C12+'MRR'!D12+'MRR'!E12-'MRR'!F12-'MRR'!G12))+ABS('MRR'!I12-'MRR'!H12*12)+ABS('MRR'!H13-('MRR'!C13+'MRR'!D13+'MRR'!E13-'MRR'!F13-'MRR'!G13))+ABS('MRR'!I13-'MRR'!H13*12)+ABS('MRR'!H14-('MRR'!C14+'MRR'!D14+'MRR'!E14-'MRR'!F14-'MRR'!G14))+ABS('MRR'!I14-'MRR'!H14*12)+ABS('MRR'!H15-('MRR'!C15+'MRR'!D15+'MRR'!E15-'MRR'!F15-'MRR'!G15))+ABS('MRR'!I15-'MRR'!H15*12)+ABS('MRR'!H16-('MRR'!C16+'MRR'!D16+'MRR'!E16-'MRR'!F16-'MRR'!G16))+ABS('MRR'!I16-'MRR'!H16*12)+ABS('MRR'!H17-('MRR'!C17+'MRR'!D17+'MRR'!E17-'MRR'!F17-'MRR'!G17))+ABS('MRR'!I17-'MRR'!H17*12)+ABS('MRR'!C7-'MRR'!H6)+ABS('MRR'!C8-'MRR'!H7)+ABS('MRR'!C9-'MRR'!H8)+ABS('MRR'!C10-'MRR'!H9)+ABS('MRR'!C11-'MRR'!H10)+ABS('MRR'!C12-'MRR'!H11)+ABS('MRR'!C13-'MRR'!H12)+ABS('MRR'!C14-'MRR'!H13)+ABS('MRR'!C15-'MRR'!H14)+ABS('MRR'!C16-'MRR'!H15)+ABS('MRR'!C17-'MRR'!H16)+ABS('MRR'!C20-SUM('MRR'!D6:D17))+ABS('MRR'!E20-SUM('MRR'!E6:E17))+ABS('MRR'!G20-SUM('MRR'!F6:F17))+ABS('MRR'!C21-SUM('MRR'!G6:G17))+ABS('MRR'!E21-'MRR'!H17)+ABS('MRR'!G21-'MRR'!I17)</x:f>
        <x:v>0</x:v>
      </x:c>
      <x:c r="D27" s="158" t="n">
        <x:f>0</x:f>
        <x:v>0</x:v>
      </x:c>
      <x:c r="E27" s="158" t="n">
        <x:f>IF(AND(C27="",D27=""),0,IF(OR(C27="",D27=""),1,C27-D27))</x:f>
        <x:v>0</x:v>
      </x:c>
      <x:c r="F27" s="19" t="str">
        <x:f>IF(ABS(E27)&lt;0.0001,"PASS","FAIL")</x:f>
        <x:v>PASS</x:v>
      </x:c>
      <x:c r="G27" s="19" t="str">
        <x:v>MRR!C6:J21</x:v>
      </x:c>
      <x:c r="H27" s="19"/>
    </x:row>
    <x:row r="28" ht="15" hidden="0" customHeight="1">
      <x:c r="A28" s="19"/>
      <x:c r="B28" s="19" t="str">
        <x:v>Rapprochement — équations mensuelles</x:v>
      </x:c>
      <x:c r="C28" s="158" t="n">
        <x:f>IF(COUNT('RAPPROCHEMENT'!C6,'RAPPROCHEMENT'!D6)&lt;2,IF(COUNT('RAPPROCHEMENT'!E6)=0,0,1),IF(COUNT('RAPPROCHEMENT'!E6)=0,1,ABS('RAPPROCHEMENT'!E6-('RAPPROCHEMENT'!C6-'RAPPROCHEMENT'!D6))))+IF(COUNT('RAPPROCHEMENT'!F6,'RAPPROCHEMENT'!G6)&lt;2,IF(COUNT('RAPPROCHEMENT'!H6)=0,0,1),IF(COUNT('RAPPROCHEMENT'!H6)=0,1,ABS('RAPPROCHEMENT'!H6-('RAPPROCHEMENT'!F6-'RAPPROCHEMENT'!G6))))+IF(COUNT('RAPPROCHEMENT'!C6,'RAPPROCHEMENT'!D6,'RAPPROCHEMENT'!F6,'RAPPROCHEMENT'!G6,'RAPPROCHEMENT'!I6)&lt;5,IF(COUNT('RAPPROCHEMENT'!J6)=0,0,1),IF(COUNT('RAPPROCHEMENT'!J6)=0,1,ABS('RAPPROCHEMENT'!J6-('RAPPROCHEMENT'!I6+('RAPPROCHEMENT'!C6-'RAPPROCHEMENT'!D6)-'RAPPROCHEMENT'!F6+'RAPPROCHEMENT'!G6))))+IF(COUNT('RAPPROCHEMENT'!C6,'RAPPROCHEMENT'!D6,'RAPPROCHEMENT'!F6,'RAPPROCHEMENT'!G6,'RAPPROCHEMENT'!I6,'RAPPROCHEMENT'!K6)&lt;6,IF(COUNT('RAPPROCHEMENT'!L6)=0,0,1),IF(COUNT('RAPPROCHEMENT'!L6)=0,1,ABS('RAPPROCHEMENT'!L6-('RAPPROCHEMENT'!K6-('RAPPROCHEMENT'!I6+('RAPPROCHEMENT'!C6-'RAPPROCHEMENT'!D6)-'RAPPROCHEMENT'!F6+'RAPPROCHEMENT'!G6)))))+IF('RAPPROCHEMENT'!N6=IF(COUNT('RAPPROCHEMENT'!C6,'RAPPROCHEMENT'!D6,'RAPPROCHEMENT'!F6,'RAPPROCHEMENT'!G6,'RAPPROCHEMENT'!I6,'RAPPROCHEMENT'!K6)&lt;6,"À REVOIR",IF(OR(ABS('RAPPROCHEMENT'!K6-('RAPPROCHEMENT'!I6+('RAPPROCHEMENT'!C6-'RAPPROCHEMENT'!D6)-'RAPPROCHEMENT'!F6+'RAPPROCHEMENT'!G6))&gt;=0.01,0),"STOP","PASS")),0,1)+IF(COUNT('RAPPROCHEMENT'!C7,'RAPPROCHEMENT'!D7)&lt;2,IF(COUNT('RAPPROCHEMENT'!E7)=0,0,1),IF(COUNT('RAPPROCHEMENT'!E7)=0,1,ABS('RAPPROCHEMENT'!E7-('RAPPROCHEMENT'!C7-'RAPPROCHEMENT'!D7))))+IF(COUNT('RAPPROCHEMENT'!F7,'RAPPROCHEMENT'!G7)&lt;2,IF(COUNT('RAPPROCHEMENT'!H7)=0,0,1),IF(COUNT('RAPPROCHEMENT'!H7)=0,1,ABS('RAPPROCHEMENT'!H7-('RAPPROCHEMENT'!F7-'RAPPROCHEMENT'!G7))))+IF(COUNT('RAPPROCHEMENT'!C7,'RAPPROCHEMENT'!D7,'RAPPROCHEMENT'!F7,'RAPPROCHEMENT'!G7,'RAPPROCHEMENT'!I7)&lt;5,IF(COUNT('RAPPROCHEMENT'!J7)=0,0,1),IF(COUNT('RAPPROCHEMENT'!J7)=0,1,ABS('RAPPROCHEMENT'!J7-('RAPPROCHEMENT'!I7+('RAPPROCHEMENT'!C7-'RAPPROCHEMENT'!D7)-'RAPPROCHEMENT'!F7+'RAPPROCHEMENT'!G7))))+IF(COUNT('RAPPROCHEMENT'!C7,'RAPPROCHEMENT'!D7,'RAPPROCHEMENT'!F7,'RAPPROCHEMENT'!G7,'RAPPROCHEMENT'!I7,'RAPPROCHEMENT'!K7)&lt;6,IF(COUNT('RAPPROCHEMENT'!L7)=0,0,1),IF(COUNT('RAPPROCHEMENT'!L7)=0,1,ABS('RAPPROCHEMENT'!L7-('RAPPROCHEMENT'!K7-('RAPPROCHEMENT'!I7+('RAPPROCHEMENT'!C7-'RAPPROCHEMENT'!D7)-'RAPPROCHEMENT'!F7+'RAPPROCHEMENT'!G7)))))+IF('RAPPROCHEMENT'!N7=IF(OR(COUNT('RAPPROCHEMENT'!C7,'RAPPROCHEMENT'!D7,'RAPPROCHEMENT'!F7,'RAPPROCHEMENT'!G7,'RAPPROCHEMENT'!I7,'RAPPROCHEMENT'!K7)&lt;6,COUNT('RAPPROCHEMENT'!K6)=0),"À REVOIR",IF(OR(ABS('RAPPROCHEMENT'!K7-('RAPPROCHEMENT'!I7+('RAPPROCHEMENT'!C7-'RAPPROCHEMENT'!D7)-'RAPPROCHEMENT'!F7+'RAPPROCHEMENT'!G7))&gt;=0.01,ABS('RAPPROCHEMENT'!I7-'RAPPROCHEMENT'!K6)&gt;=0.01),"STOP","PASS")),0,1)+IF(COUNT('RAPPROCHEMENT'!C8,'RAPPROCHEMENT'!D8)&lt;2,IF(COUNT('RAPPROCHEMENT'!E8)=0,0,1),IF(COUNT('RAPPROCHEMENT'!E8)=0,1,ABS('RAPPROCHEMENT'!E8-('RAPPROCHEMENT'!C8-'RAPPROCHEMENT'!D8))))+IF(COUNT('RAPPROCHEMENT'!F8,'RAPPROCHEMENT'!G8)&lt;2,IF(COUNT('RAPPROCHEMENT'!H8)=0,0,1),IF(COUNT('RAPPROCHEMENT'!H8)=0,1,ABS('RAPPROCHEMENT'!H8-('RAPPROCHEMENT'!F8-'RAPPROCHEMENT'!G8))))+IF(COUNT('RAPPROCHEMENT'!C8,'RAPPROCHEMENT'!D8,'RAPPROCHEMENT'!F8,'RAPPROCHEMENT'!G8,'RAPPROCHEMENT'!I8)&lt;5,IF(COUNT('RAPPROCHEMENT'!J8)=0,0,1),IF(COUNT('RAPPROCHEMENT'!J8)=0,1,ABS('RAPPROCHEMENT'!J8-('RAPPROCHEMENT'!I8+('RAPPROCHEMENT'!C8-'RAPPROCHEMENT'!D8)-'RAPPROCHEMENT'!F8+'RAPPROCHEMENT'!G8))))+IF(COUNT('RAPPROCHEMENT'!C8,'RAPPROCHEMENT'!D8,'RAPPROCHEMENT'!F8,'RAPPROCHEMENT'!G8,'RAPPROCHEMENT'!I8,'RAPPROCHEMENT'!K8)&lt;6,IF(COUNT('RAPPROCHEMENT'!L8)=0,0,1),IF(COUNT('RAPPROCHEMENT'!L8)=0,1,ABS('RAPPROCHEMENT'!L8-('RAPPROCHEMENT'!K8-('RAPPROCHEMENT'!I8+('RAPPROCHEMENT'!C8-'RAPPROCHEMENT'!D8)-'RAPPROCHEMENT'!F8+'RAPPROCHEMENT'!G8)))))+IF('RAPPROCHEMENT'!N8=IF(OR(COUNT('RAPPROCHEMENT'!C8,'RAPPROCHEMENT'!D8,'RAPPROCHEMENT'!F8,'RAPPROCHEMENT'!G8,'RAPPROCHEMENT'!I8,'RAPPROCHEMENT'!K8)&lt;6,COUNT('RAPPROCHEMENT'!K7)=0),"À REVOIR",IF(OR(ABS('RAPPROCHEMENT'!K8-('RAPPROCHEMENT'!I8+('RAPPROCHEMENT'!C8-'RAPPROCHEMENT'!D8)-'RAPPROCHEMENT'!F8+'RAPPROCHEMENT'!G8))&gt;=0.01,ABS('RAPPROCHEMENT'!I8-'RAPPROCHEMENT'!K7)&gt;=0.01),"STOP","PASS")),0,1)+IF(COUNT('RAPPROCHEMENT'!C9,'RAPPROCHEMENT'!D9)&lt;2,IF(COUNT('RAPPROCHEMENT'!E9)=0,0,1),IF(COUNT('RAPPROCHEMENT'!E9)=0,1,ABS('RAPPROCHEMENT'!E9-('RAPPROCHEMENT'!C9-'RAPPROCHEMENT'!D9))))+IF(COUNT('RAPPROCHEMENT'!F9,'RAPPROCHEMENT'!G9)&lt;2,IF(COUNT('RAPPROCHEMENT'!H9)=0,0,1),IF(COUNT('RAPPROCHEMENT'!H9)=0,1,ABS('RAPPROCHEMENT'!H9-('RAPPROCHEMENT'!F9-'RAPPROCHEMENT'!G9))))+IF(COUNT('RAPPROCHEMENT'!C9,'RAPPROCHEMENT'!D9,'RAPPROCHEMENT'!F9,'RAPPROCHEMENT'!G9,'RAPPROCHEMENT'!I9)&lt;5,IF(COUNT('RAPPROCHEMENT'!J9)=0,0,1),IF(COUNT('RAPPROCHEMENT'!J9)=0,1,ABS('RAPPROCHEMENT'!J9-('RAPPROCHEMENT'!I9+('RAPPROCHEMENT'!C9-'RAPPROCHEMENT'!D9)-'RAPPROCHEMENT'!F9+'RAPPROCHEMENT'!G9))))+IF(COUNT('RAPPROCHEMENT'!C9,'RAPPROCHEMENT'!D9,'RAPPROCHEMENT'!F9,'RAPPROCHEMENT'!G9,'RAPPROCHEMENT'!I9,'RAPPROCHEMENT'!K9)&lt;6,IF(COUNT('RAPPROCHEMENT'!L9)=0,0,1),IF(COUNT('RAPPROCHEMENT'!L9)=0,1,ABS('RAPPROCHEMENT'!L9-('RAPPROCHEMENT'!K9-('RAPPROCHEMENT'!I9+('RAPPROCHEMENT'!C9-'RAPPROCHEMENT'!D9)-'RAPPROCHEMENT'!F9+'RAPPROCHEMENT'!G9)))))+IF('RAPPROCHEMENT'!N9=IF(OR(COUNT('RAPPROCHEMENT'!C9,'RAPPROCHEMENT'!D9,'RAPPROCHEMENT'!F9,'RAPPROCHEMENT'!G9,'RAPPROCHEMENT'!I9,'RAPPROCHEMENT'!K9)&lt;6,COUNT('RAPPROCHEMENT'!K8)=0),"À REVOIR",IF(OR(ABS('RAPPROCHEMENT'!K9-('RAPPROCHEMENT'!I9+('RAPPROCHEMENT'!C9-'RAPPROCHEMENT'!D9)-'RAPPROCHEMENT'!F9+'RAPPROCHEMENT'!G9))&gt;=0.01,ABS('RAPPROCHEMENT'!I9-'RAPPROCHEMENT'!K8)&gt;=0.01),"STOP","PASS")),0,1)+IF(COUNT('RAPPROCHEMENT'!C10,'RAPPROCHEMENT'!D10)&lt;2,IF(COUNT('RAPPROCHEMENT'!E10)=0,0,1),IF(COUNT('RAPPROCHEMENT'!E10)=0,1,ABS('RAPPROCHEMENT'!E10-('RAPPROCHEMENT'!C10-'RAPPROCHEMENT'!D10))))+IF(COUNT('RAPPROCHEMENT'!F10,'RAPPROCHEMENT'!G10)&lt;2,IF(COUNT('RAPPROCHEMENT'!H10)=0,0,1),IF(COUNT('RAPPROCHEMENT'!H10)=0,1,ABS('RAPPROCHEMENT'!H10-('RAPPROCHEMENT'!F10-'RAPPROCHEMENT'!G10))))+IF(COUNT('RAPPROCHEMENT'!C10,'RAPPROCHEMENT'!D10,'RAPPROCHEMENT'!F10,'RAPPROCHEMENT'!G10,'RAPPROCHEMENT'!I10)&lt;5,IF(COUNT('RAPPROCHEMENT'!J10)=0,0,1),IF(COUNT('RAPPROCHEMENT'!J10)=0,1,ABS('RAPPROCHEMENT'!J10-('RAPPROCHEMENT'!I10+('RAPPROCHEMENT'!C10-'RAPPROCHEMENT'!D10)-'RAPPROCHEMENT'!F10+'RAPPROCHEMENT'!G10))))+IF(COUNT('RAPPROCHEMENT'!C10,'RAPPROCHEMENT'!D10,'RAPPROCHEMENT'!F10,'RAPPROCHEMENT'!G10,'RAPPROCHEMENT'!I10,'RAPPROCHEMENT'!K10)&lt;6,IF(COUNT('RAPPROCHEMENT'!L10)=0,0,1),IF(COUNT('RAPPROCHEMENT'!L10)=0,1,ABS('RAPPROCHEMENT'!L10-('RAPPROCHEMENT'!K10-('RAPPROCHEMENT'!I10+('RAPPROCHEMENT'!C10-'RAPPROCHEMENT'!D10)-'RAPPROCHEMENT'!F10+'RAPPROCHEMENT'!G10)))))+IF('RAPPROCHEMENT'!N10=IF(OR(COUNT('RAPPROCHEMENT'!C10,'RAPPROCHEMENT'!D10,'RAPPROCHEMENT'!F10,'RAPPROCHEMENT'!G10,'RAPPROCHEMENT'!I10,'RAPPROCHEMENT'!K10)&lt;6,COUNT('RAPPROCHEMENT'!K9)=0),"À REVOIR",IF(OR(ABS('RAPPROCHEMENT'!K10-('RAPPROCHEMENT'!I10+('RAPPROCHEMENT'!C10-'RAPPROCHEMENT'!D10)-'RAPPROCHEMENT'!F10+'RAPPROCHEMENT'!G10))&gt;=0.01,ABS('RAPPROCHEMENT'!I10-'RAPPROCHEMENT'!K9)&gt;=0.01),"STOP","PASS")),0,1)+IF(COUNT('RAPPROCHEMENT'!C11,'RAPPROCHEMENT'!D11)&lt;2,IF(COUNT('RAPPROCHEMENT'!E11)=0,0,1),IF(COUNT('RAPPROCHEMENT'!E11)=0,1,ABS('RAPPROCHEMENT'!E11-('RAPPROCHEMENT'!C11-'RAPPROCHEMENT'!D11))))+IF(COUNT('RAPPROCHEMENT'!F11,'RAPPROCHEMENT'!G11)&lt;2,IF(COUNT('RAPPROCHEMENT'!H11)=0,0,1),IF(COUNT('RAPPROCHEMENT'!H11)=0,1,ABS('RAPPROCHEMENT'!H11-('RAPPROCHEMENT'!F11-'RAPPROCHEMENT'!G11))))+IF(COUNT('RAPPROCHEMENT'!C11,'RAPPROCHEMENT'!D11,'RAPPROCHEMENT'!F11,'RAPPROCHEMENT'!G11,'RAPPROCHEMENT'!I11)&lt;5,IF(COUNT('RAPPROCHEMENT'!J11)=0,0,1),IF(COUNT('RAPPROCHEMENT'!J11)=0,1,ABS('RAPPROCHEMENT'!J11-('RAPPROCHEMENT'!I11+('RAPPROCHEMENT'!C11-'RAPPROCHEMENT'!D11)-'RAPPROCHEMENT'!F11+'RAPPROCHEMENT'!G11))))+IF(COUNT('RAPPROCHEMENT'!C11,'RAPPROCHEMENT'!D11,'RAPPROCHEMENT'!F11,'RAPPROCHEMENT'!G11,'RAPPROCHEMENT'!I11,'RAPPROCHEMENT'!K11)&lt;6,IF(COUNT('RAPPROCHEMENT'!L11)=0,0,1),IF(COUNT('RAPPROCHEMENT'!L11)=0,1,ABS('RAPPROCHEMENT'!L11-('RAPPROCHEMENT'!K11-('RAPPROCHEMENT'!I11+('RAPPROCHEMENT'!C11-'RAPPROCHEMENT'!D11)-'RAPPROCHEMENT'!F11+'RAPPROCHEMENT'!G11)))))+IF('RAPPROCHEMENT'!N11=IF(OR(COUNT('RAPPROCHEMENT'!C11,'RAPPROCHEMENT'!D11,'RAPPROCHEMENT'!F11,'RAPPROCHEMENT'!G11,'RAPPROCHEMENT'!I11,'RAPPROCHEMENT'!K11)&lt;6,COUNT('RAPPROCHEMENT'!K10)=0),"À REVOIR",IF(OR(ABS('RAPPROCHEMENT'!K11-('RAPPROCHEMENT'!I11+('RAPPROCHEMENT'!C11-'RAPPROCHEMENT'!D11)-'RAPPROCHEMENT'!F11+'RAPPROCHEMENT'!G11))&gt;=0.01,ABS('RAPPROCHEMENT'!I11-'RAPPROCHEMENT'!K10)&gt;=0.01),"STOP","PASS")),0,1)+IF(COUNT('RAPPROCHEMENT'!C12,'RAPPROCHEMENT'!D12)&lt;2,IF(COUNT('RAPPROCHEMENT'!E12)=0,0,1),IF(COUNT('RAPPROCHEMENT'!E12)=0,1,ABS('RAPPROCHEMENT'!E12-('RAPPROCHEMENT'!C12-'RAPPROCHEMENT'!D12))))+IF(COUNT('RAPPROCHEMENT'!F12,'RAPPROCHEMENT'!G12)&lt;2,IF(COUNT('RAPPROCHEMENT'!H12)=0,0,1),IF(COUNT('RAPPROCHEMENT'!H12)=0,1,ABS('RAPPROCHEMENT'!H12-('RAPPROCHEMENT'!F12-'RAPPROCHEMENT'!G12))))+IF(COUNT('RAPPROCHEMENT'!C12,'RAPPROCHEMENT'!D12,'RAPPROCHEMENT'!F12,'RAPPROCHEMENT'!G12,'RAPPROCHEMENT'!I12)&lt;5,IF(COUNT('RAPPROCHEMENT'!J12)=0,0,1),IF(COUNT('RAPPROCHEMENT'!J12)=0,1,ABS('RAPPROCHEMENT'!J12-('RAPPROCHEMENT'!I12+('RAPPROCHEMENT'!C12-'RAPPROCHEMENT'!D12)-'RAPPROCHEMENT'!F12+'RAPPROCHEMENT'!G12))))+IF(COUNT('RAPPROCHEMENT'!C12,'RAPPROCHEMENT'!D12,'RAPPROCHEMENT'!F12,'RAPPROCHEMENT'!G12,'RAPPROCHEMENT'!I12,'RAPPROCHEMENT'!K12)&lt;6,IF(COUNT('RAPPROCHEMENT'!L12)=0,0,1),IF(COUNT('RAPPROCHEMENT'!L12)=0,1,ABS('RAPPROCHEMENT'!L12-('RAPPROCHEMENT'!K12-('RAPPROCHEMENT'!I12+('RAPPROCHEMENT'!C12-'RAPPROCHEMENT'!D12)-'RAPPROCHEMENT'!F12+'RAPPROCHEMENT'!G12)))))+IF('RAPPROCHEMENT'!N12=IF(OR(COUNT('RAPPROCHEMENT'!C12,'RAPPROCHEMENT'!D12,'RAPPROCHEMENT'!F12,'RAPPROCHEMENT'!G12,'RAPPROCHEMENT'!I12,'RAPPROCHEMENT'!K12)&lt;6,COUNT('RAPPROCHEMENT'!K11)=0),"À REVOIR",IF(OR(ABS('RAPPROCHEMENT'!K12-('RAPPROCHEMENT'!I12+('RAPPROCHEMENT'!C12-'RAPPROCHEMENT'!D12)-'RAPPROCHEMENT'!F12+'RAPPROCHEMENT'!G12))&gt;=0.01,ABS('RAPPROCHEMENT'!I12-'RAPPROCHEMENT'!K11)&gt;=0.01),"STOP","PASS")),0,1)+IF(COUNT('RAPPROCHEMENT'!C13,'RAPPROCHEMENT'!D13)&lt;2,IF(COUNT('RAPPROCHEMENT'!E13)=0,0,1),IF(COUNT('RAPPROCHEMENT'!E13)=0,1,ABS('RAPPROCHEMENT'!E13-('RAPPROCHEMENT'!C13-'RAPPROCHEMENT'!D13))))+IF(COUNT('RAPPROCHEMENT'!F13,'RAPPROCHEMENT'!G13)&lt;2,IF(COUNT('RAPPROCHEMENT'!H13)=0,0,1),IF(COUNT('RAPPROCHEMENT'!H13)=0,1,ABS('RAPPROCHEMENT'!H13-('RAPPROCHEMENT'!F13-'RAPPROCHEMENT'!G13))))+IF(COUNT('RAPPROCHEMENT'!C13,'RAPPROCHEMENT'!D13,'RAPPROCHEMENT'!F13,'RAPPROCHEMENT'!G13,'RAPPROCHEMENT'!I13)&lt;5,IF(COUNT('RAPPROCHEMENT'!J13)=0,0,1),IF(COUNT('RAPPROCHEMENT'!J13)=0,1,ABS('RAPPROCHEMENT'!J13-('RAPPROCHEMENT'!I13+('RAPPROCHEMENT'!C13-'RAPPROCHEMENT'!D13)-'RAPPROCHEMENT'!F13+'RAPPROCHEMENT'!G13))))+IF(COUNT('RAPPROCHEMENT'!C13,'RAPPROCHEMENT'!D13,'RAPPROCHEMENT'!F13,'RAPPROCHEMENT'!G13,'RAPPROCHEMENT'!I13,'RAPPROCHEMENT'!K13)&lt;6,IF(COUNT('RAPPROCHEMENT'!L13)=0,0,1),IF(COUNT('RAPPROCHEMENT'!L13)=0,1,ABS('RAPPROCHEMENT'!L13-('RAPPROCHEMENT'!K13-('RAPPROCHEMENT'!I13+('RAPPROCHEMENT'!C13-'RAPPROCHEMENT'!D13)-'RAPPROCHEMENT'!F13+'RAPPROCHEMENT'!G13)))))+IF('RAPPROCHEMENT'!N13=IF(OR(COUNT('RAPPROCHEMENT'!C13,'RAPPROCHEMENT'!D13,'RAPPROCHEMENT'!F13,'RAPPROCHEMENT'!G13,'RAPPROCHEMENT'!I13,'RAPPROCHEMENT'!K13)&lt;6,COUNT('RAPPROCHEMENT'!K12)=0),"À REVOIR",IF(OR(ABS('RAPPROCHEMENT'!K13-('RAPPROCHEMENT'!I13+('RAPPROCHEMENT'!C13-'RAPPROCHEMENT'!D13)-'RAPPROCHEMENT'!F13+'RAPPROCHEMENT'!G13))&gt;=0.01,ABS('RAPPROCHEMENT'!I13-'RAPPROCHEMENT'!K12)&gt;=0.01),"STOP","PASS")),0,1)+IF(COUNT('RAPPROCHEMENT'!C14,'RAPPROCHEMENT'!D14)&lt;2,IF(COUNT('RAPPROCHEMENT'!E14)=0,0,1),IF(COUNT('RAPPROCHEMENT'!E14)=0,1,ABS('RAPPROCHEMENT'!E14-('RAPPROCHEMENT'!C14-'RAPPROCHEMENT'!D14))))+IF(COUNT('RAPPROCHEMENT'!F14,'RAPPROCHEMENT'!G14)&lt;2,IF(COUNT('RAPPROCHEMENT'!H14)=0,0,1),IF(COUNT('RAPPROCHEMENT'!H14)=0,1,ABS('RAPPROCHEMENT'!H14-('RAPPROCHEMENT'!F14-'RAPPROCHEMENT'!G14))))+IF(COUNT('RAPPROCHEMENT'!C14,'RAPPROCHEMENT'!D14,'RAPPROCHEMENT'!F14,'RAPPROCHEMENT'!G14,'RAPPROCHEMENT'!I14)&lt;5,IF(COUNT('RAPPROCHEMENT'!J14)=0,0,1),IF(COUNT('RAPPROCHEMENT'!J14)=0,1,ABS('RAPPROCHEMENT'!J14-('RAPPROCHEMENT'!I14+('RAPPROCHEMENT'!C14-'RAPPROCHEMENT'!D14)-'RAPPROCHEMENT'!F14+'RAPPROCHEMENT'!G14))))+IF(COUNT('RAPPROCHEMENT'!C14,'RAPPROCHEMENT'!D14,'RAPPROCHEMENT'!F14,'RAPPROCHEMENT'!G14,'RAPPROCHEMENT'!I14,'RAPPROCHEMENT'!K14)&lt;6,IF(COUNT('RAPPROCHEMENT'!L14)=0,0,1),IF(COUNT('RAPPROCHEMENT'!L14)=0,1,ABS('RAPPROCHEMENT'!L14-('RAPPROCHEMENT'!K14-('RAPPROCHEMENT'!I14+('RAPPROCHEMENT'!C14-'RAPPROCHEMENT'!D14)-'RAPPROCHEMENT'!F14+'RAPPROCHEMENT'!G14)))))+IF('RAPPROCHEMENT'!N14=IF(OR(COUNT('RAPPROCHEMENT'!C14,'RAPPROCHEMENT'!D14,'RAPPROCHEMENT'!F14,'RAPPROCHEMENT'!G14,'RAPPROCHEMENT'!I14,'RAPPROCHEMENT'!K14)&lt;6,COUNT('RAPPROCHEMENT'!K13)=0),"À REVOIR",IF(OR(ABS('RAPPROCHEMENT'!K14-('RAPPROCHEMENT'!I14+('RAPPROCHEMENT'!C14-'RAPPROCHEMENT'!D14)-'RAPPROCHEMENT'!F14+'RAPPROCHEMENT'!G14))&gt;=0.01,ABS('RAPPROCHEMENT'!I14-'RAPPROCHEMENT'!K13)&gt;=0.01),"STOP","PASS")),0,1)+IF(COUNT('RAPPROCHEMENT'!C15,'RAPPROCHEMENT'!D15)&lt;2,IF(COUNT('RAPPROCHEMENT'!E15)=0,0,1),IF(COUNT('RAPPROCHEMENT'!E15)=0,1,ABS('RAPPROCHEMENT'!E15-('RAPPROCHEMENT'!C15-'RAPPROCHEMENT'!D15))))+IF(COUNT('RAPPROCHEMENT'!F15,'RAPPROCHEMENT'!G15)&lt;2,IF(COUNT('RAPPROCHEMENT'!H15)=0,0,1),IF(COUNT('RAPPROCHEMENT'!H15)=0,1,ABS('RAPPROCHEMENT'!H15-('RAPPROCHEMENT'!F15-'RAPPROCHEMENT'!G15))))+IF(COUNT('RAPPROCHEMENT'!C15,'RAPPROCHEMENT'!D15,'RAPPROCHEMENT'!F15,'RAPPROCHEMENT'!G15,'RAPPROCHEMENT'!I15)&lt;5,IF(COUNT('RAPPROCHEMENT'!J15)=0,0,1),IF(COUNT('RAPPROCHEMENT'!J15)=0,1,ABS('RAPPROCHEMENT'!J15-('RAPPROCHEMENT'!I15+('RAPPROCHEMENT'!C15-'RAPPROCHEMENT'!D15)-'RAPPROCHEMENT'!F15+'RAPPROCHEMENT'!G15))))+IF(COUNT('RAPPROCHEMENT'!C15,'RAPPROCHEMENT'!D15,'RAPPROCHEMENT'!F15,'RAPPROCHEMENT'!G15,'RAPPROCHEMENT'!I15,'RAPPROCHEMENT'!K15)&lt;6,IF(COUNT('RAPPROCHEMENT'!L15)=0,0,1),IF(COUNT('RAPPROCHEMENT'!L15)=0,1,ABS('RAPPROCHEMENT'!L15-('RAPPROCHEMENT'!K15-('RAPPROCHEMENT'!I15+('RAPPROCHEMENT'!C15-'RAPPROCHEMENT'!D15)-'RAPPROCHEMENT'!F15+'RAPPROCHEMENT'!G15)))))+IF('RAPPROCHEMENT'!N15=IF(OR(COUNT('RAPPROCHEMENT'!C15,'RAPPROCHEMENT'!D15,'RAPPROCHEMENT'!F15,'RAPPROCHEMENT'!G15,'RAPPROCHEMENT'!I15,'RAPPROCHEMENT'!K15)&lt;6,COUNT('RAPPROCHEMENT'!K14)=0),"À REVOIR",IF(OR(ABS('RAPPROCHEMENT'!K15-('RAPPROCHEMENT'!I15+('RAPPROCHEMENT'!C15-'RAPPROCHEMENT'!D15)-'RAPPROCHEMENT'!F15+'RAPPROCHEMENT'!G15))&gt;=0.01,ABS('RAPPROCHEMENT'!I15-'RAPPROCHEMENT'!K14)&gt;=0.01),"STOP","PASS")),0,1)+IF(COUNT('RAPPROCHEMENT'!C16,'RAPPROCHEMENT'!D16)&lt;2,IF(COUNT('RAPPROCHEMENT'!E16)=0,0,1),IF(COUNT('RAPPROCHEMENT'!E16)=0,1,ABS('RAPPROCHEMENT'!E16-('RAPPROCHEMENT'!C16-'RAPPROCHEMENT'!D16))))+IF(COUNT('RAPPROCHEMENT'!F16,'RAPPROCHEMENT'!G16)&lt;2,IF(COUNT('RAPPROCHEMENT'!H16)=0,0,1),IF(COUNT('RAPPROCHEMENT'!H16)=0,1,ABS('RAPPROCHEMENT'!H16-('RAPPROCHEMENT'!F16-'RAPPROCHEMENT'!G16))))+IF(COUNT('RAPPROCHEMENT'!C16,'RAPPROCHEMENT'!D16,'RAPPROCHEMENT'!F16,'RAPPROCHEMENT'!G16,'RAPPROCHEMENT'!I16)&lt;5,IF(COUNT('RAPPROCHEMENT'!J16)=0,0,1),IF(COUNT('RAPPROCHEMENT'!J16)=0,1,ABS('RAPPROCHEMENT'!J16-('RAPPROCHEMENT'!I16+('RAPPROCHEMENT'!C16-'RAPPROCHEMENT'!D16)-'RAPPROCHEMENT'!F16+'RAPPROCHEMENT'!G16))))+IF(COUNT('RAPPROCHEMENT'!C16,'RAPPROCHEMENT'!D16,'RAPPROCHEMENT'!F16,'RAPPROCHEMENT'!G16,'RAPPROCHEMENT'!I16,'RAPPROCHEMENT'!K16)&lt;6,IF(COUNT('RAPPROCHEMENT'!L16)=0,0,1),IF(COUNT('RAPPROCHEMENT'!L16)=0,1,ABS('RAPPROCHEMENT'!L16-('RAPPROCHEMENT'!K16-('RAPPROCHEMENT'!I16+('RAPPROCHEMENT'!C16-'RAPPROCHEMENT'!D16)-'RAPPROCHEMENT'!F16+'RAPPROCHEMENT'!G16)))))+IF('RAPPROCHEMENT'!N16=IF(OR(COUNT('RAPPROCHEMENT'!C16,'RAPPROCHEMENT'!D16,'RAPPROCHEMENT'!F16,'RAPPROCHEMENT'!G16,'RAPPROCHEMENT'!I16,'RAPPROCHEMENT'!K16)&lt;6,COUNT('RAPPROCHEMENT'!K15)=0),"À REVOIR",IF(OR(ABS('RAPPROCHEMENT'!K16-('RAPPROCHEMENT'!I16+('RAPPROCHEMENT'!C16-'RAPPROCHEMENT'!D16)-'RAPPROCHEMENT'!F16+'RAPPROCHEMENT'!G16))&gt;=0.01,ABS('RAPPROCHEMENT'!I16-'RAPPROCHEMENT'!K15)&gt;=0.01),"STOP","PASS")),0,1)+IF(COUNT('RAPPROCHEMENT'!C17,'RAPPROCHEMENT'!D17)&lt;2,IF(COUNT('RAPPROCHEMENT'!E17)=0,0,1),IF(COUNT('RAPPROCHEMENT'!E17)=0,1,ABS('RAPPROCHEMENT'!E17-('RAPPROCHEMENT'!C17-'RAPPROCHEMENT'!D17))))+IF(COUNT('RAPPROCHEMENT'!F17,'RAPPROCHEMENT'!G17)&lt;2,IF(COUNT('RAPPROCHEMENT'!H17)=0,0,1),IF(COUNT('RAPPROCHEMENT'!H17)=0,1,ABS('RAPPROCHEMENT'!H17-('RAPPROCHEMENT'!F17-'RAPPROCHEMENT'!G17))))+IF(COUNT('RAPPROCHEMENT'!C17,'RAPPROCHEMENT'!D17,'RAPPROCHEMENT'!F17,'RAPPROCHEMENT'!G17,'RAPPROCHEMENT'!I17)&lt;5,IF(COUNT('RAPPROCHEMENT'!J17)=0,0,1),IF(COUNT('RAPPROCHEMENT'!J17)=0,1,ABS('RAPPROCHEMENT'!J17-('RAPPROCHEMENT'!I17+('RAPPROCHEMENT'!C17-'RAPPROCHEMENT'!D17)-'RAPPROCHEMENT'!F17+'RAPPROCHEMENT'!G17))))+IF(COUNT('RAPPROCHEMENT'!C17,'RAPPROCHEMENT'!D17,'RAPPROCHEMENT'!F17,'RAPPROCHEMENT'!G17,'RAPPROCHEMENT'!I17,'RAPPROCHEMENT'!K17)&lt;6,IF(COUNT('RAPPROCHEMENT'!L17)=0,0,1),IF(COUNT('RAPPROCHEMENT'!L17)=0,1,ABS('RAPPROCHEMENT'!L17-('RAPPROCHEMENT'!K17-('RAPPROCHEMENT'!I17+('RAPPROCHEMENT'!C17-'RAPPROCHEMENT'!D17)-'RAPPROCHEMENT'!F17+'RAPPROCHEMENT'!G17)))))+IF('RAPPROCHEMENT'!N17=IF(OR(COUNT('RAPPROCHEMENT'!C17,'RAPPROCHEMENT'!D17,'RAPPROCHEMENT'!F17,'RAPPROCHEMENT'!G17,'RAPPROCHEMENT'!I17,'RAPPROCHEMENT'!K17)&lt;6,COUNT('RAPPROCHEMENT'!K16)=0),"À REVOIR",IF(OR(ABS('RAPPROCHEMENT'!K17-('RAPPROCHEMENT'!I17+('RAPPROCHEMENT'!C17-'RAPPROCHEMENT'!D17)-'RAPPROCHEMENT'!F17+'RAPPROCHEMENT'!G17))&gt;=0.01,ABS('RAPPROCHEMENT'!I17-'RAPPROCHEMENT'!K16)&gt;=0.01),"STOP","PASS")),0,1)</x:f>
        <x:v>0</x:v>
      </x:c>
      <x:c r="D28" s="158" t="n">
        <x:f>0</x:f>
        <x:v>0</x:v>
      </x:c>
      <x:c r="E28" s="158" t="n">
        <x:f>IF(AND(C28="",D28=""),0,IF(OR(C28="",D28=""),1,C28-D28))</x:f>
        <x:v>0</x:v>
      </x:c>
      <x:c r="F28" s="19" t="str">
        <x:f>IF(ABS(E28)&lt;0.0001,"PASS","FAIL")</x:f>
        <x:v>PASS</x:v>
      </x:c>
      <x:c r="G28" s="19" t="str">
        <x:v>RAPPROCHEMENT!C6:N17</x:v>
      </x:c>
      <x:c r="H28" s="19"/>
    </x:row>
    <x:row r="29" ht="15" hidden="0" customHeight="1">
      <x:c r="A29" s="19"/>
      <x:c r="B29" s="19" t="str">
        <x:v>Rapprochement — totaux et créance</x:v>
      </x:c>
      <x:c r="C29" s="158" t="n">
        <x:f>ABS('RAPPROCHEMENT'!C20-SUM('RAPPROCHEMENT'!C6:C17))+ABS('RAPPROCHEMENT'!E20-SUM('RAPPROCHEMENT'!D6:D17))+ABS('RAPPROCHEMENT'!G20-SUM('RAPPROCHEMENT'!F6:F17))+ABS('RAPPROCHEMENT'!I20-SUM('RAPPROCHEMENT'!G6:G17))+ABS('RAPPROCHEMENT'!K20-(SUM('RAPPROCHEMENT'!F6:F17)-SUM('RAPPROCHEMENT'!G6:G17)))+ABS('RAPPROCHEMENT'!C21-(SUM('RAPPROCHEMENT'!C6:C17)-SUM('RAPPROCHEMENT'!D6:D17)))+ABS('RAPPROCHEMENT'!E21-'RAPPROCHEMENT'!I6)+ABS('RAPPROCHEMENT'!G21-('RAPPROCHEMENT'!I6+SUM('RAPPROCHEMENT'!C6:C17)-SUM('RAPPROCHEMENT'!D6:D17)-SUM('RAPPROCHEMENT'!F6:F17)+SUM('RAPPROCHEMENT'!G6:G17)))+ABS('RAPPROCHEMENT'!I21-'RAPPROCHEMENT'!K17)+ABS('RAPPROCHEMENT'!K21-('RAPPROCHEMENT'!K17-('RAPPROCHEMENT'!I6+SUM('RAPPROCHEMENT'!C6:C17)-SUM('RAPPROCHEMENT'!D6:D17)-SUM('RAPPROCHEMENT'!F6:F17)+SUM('RAPPROCHEMENT'!G6:G17))))+IF('RAPPROCHEMENT'!M20=IF((IF(COUNT('RAPPROCHEMENT'!C6,'RAPPROCHEMENT'!D6,'RAPPROCHEMENT'!F6,'RAPPROCHEMENT'!G6,'RAPPROCHEMENT'!I6,'RAPPROCHEMENT'!K6)&lt;6,0,IF(OR(ABS('RAPPROCHEMENT'!K6-('RAPPROCHEMENT'!I6+('RAPPROCHEMENT'!C6-'RAPPROCHEMENT'!D6)-'RAPPROCHEMENT'!F6+'RAPPROCHEMENT'!G6))&gt;=0.01,0),1,0))+IF(OR(COUNT('RAPPROCHEMENT'!C7,'RAPPROCHEMENT'!D7,'RAPPROCHEMENT'!F7,'RAPPROCHEMENT'!G7,'RAPPROCHEMENT'!I7,'RAPPROCHEMENT'!K7)&lt;6,COUNT('RAPPROCHEMENT'!K6)=0),0,IF(OR(ABS('RAPPROCHEMENT'!K7-('RAPPROCHEMENT'!I7+('RAPPROCHEMENT'!C7-'RAPPROCHEMENT'!D7)-'RAPPROCHEMENT'!F7+'RAPPROCHEMENT'!G7))&gt;=0.01,ABS('RAPPROCHEMENT'!I7-'RAPPROCHEMENT'!K6)&gt;=0.01),1,0))+IF(OR(COUNT('RAPPROCHEMENT'!C8,'RAPPROCHEMENT'!D8,'RAPPROCHEMENT'!F8,'RAPPROCHEMENT'!G8,'RAPPROCHEMENT'!I8,'RAPPROCHEMENT'!K8)&lt;6,COUNT('RAPPROCHEMENT'!K7)=0),0,IF(OR(ABS('RAPPROCHEMENT'!K8-('RAPPROCHEMENT'!I8+('RAPPROCHEMENT'!C8-'RAPPROCHEMENT'!D8)-'RAPPROCHEMENT'!F8+'RAPPROCHEMENT'!G8))&gt;=0.01,ABS('RAPPROCHEMENT'!I8-'RAPPROCHEMENT'!K7)&gt;=0.01),1,0))+IF(OR(COUNT('RAPPROCHEMENT'!C9,'RAPPROCHEMENT'!D9,'RAPPROCHEMENT'!F9,'RAPPROCHEMENT'!G9,'RAPPROCHEMENT'!I9,'RAPPROCHEMENT'!K9)&lt;6,COUNT('RAPPROCHEMENT'!K8)=0),0,IF(OR(ABS('RAPPROCHEMENT'!K9-('RAPPROCHEMENT'!I9+('RAPPROCHEMENT'!C9-'RAPPROCHEMENT'!D9)-'RAPPROCHEMENT'!F9+'RAPPROCHEMENT'!G9))&gt;=0.01,ABS('RAPPROCHEMENT'!I9-'RAPPROCHEMENT'!K8)&gt;=0.01),1,0))+IF(OR(COUNT('RAPPROCHEMENT'!C10,'RAPPROCHEMENT'!D10,'RAPPROCHEMENT'!F10,'RAPPROCHEMENT'!G10,'RAPPROCHEMENT'!I10,'RAPPROCHEMENT'!K10)&lt;6,COUNT('RAPPROCHEMENT'!K9)=0),0,IF(OR(ABS('RAPPROCHEMENT'!K10-('RAPPROCHEMENT'!I10+('RAPPROCHEMENT'!C10-'RAPPROCHEMENT'!D10)-'RAPPROCHEMENT'!F10+'RAPPROCHEMENT'!G10))&gt;=0.01,ABS('RAPPROCHEMENT'!I10-'RAPPROCHEMENT'!K9)&gt;=0.01),1,0))+IF(OR(COUNT('RAPPROCHEMENT'!C11,'RAPPROCHEMENT'!D11,'RAPPROCHEMENT'!F11,'RAPPROCHEMENT'!G11,'RAPPROCHEMENT'!I11,'RAPPROCHEMENT'!K11)&lt;6,COUNT('RAPPROCHEMENT'!K10)=0),0,IF(OR(ABS('RAPPROCHEMENT'!K11-('RAPPROCHEMENT'!I11+('RAPPROCHEMENT'!C11-'RAPPROCHEMENT'!D11)-'RAPPROCHEMENT'!F11+'RAPPROCHEMENT'!G11))&gt;=0.01,ABS('RAPPROCHEMENT'!I11-'RAPPROCHEMENT'!K10)&gt;=0.01),1,0))+IF(OR(COUNT('RAPPROCHEMENT'!C12,'RAPPROCHEMENT'!D12,'RAPPROCHEMENT'!F12,'RAPPROCHEMENT'!G12,'RAPPROCHEMENT'!I12,'RAPPROCHEMENT'!K12)&lt;6,COUNT('RAPPROCHEMENT'!K11)=0),0,IF(OR(ABS('RAPPROCHEMENT'!K12-('RAPPROCHEMENT'!I12+('RAPPROCHEMENT'!C12-'RAPPROCHEMENT'!D12)-'RAPPROCHEMENT'!F12+'RAPPROCHEMENT'!G12))&gt;=0.01,ABS('RAPPROCHEMENT'!I12-'RAPPROCHEMENT'!K11)&gt;=0.01),1,0))+IF(OR(COUNT('RAPPROCHEMENT'!C13,'RAPPROCHEMENT'!D13,'RAPPROCHEMENT'!F13,'RAPPROCHEMENT'!G13,'RAPPROCHEMENT'!I13,'RAPPROCHEMENT'!K13)&lt;6,COUNT('RAPPROCHEMENT'!K12)=0),0,IF(OR(ABS('RAPPROCHEMENT'!K13-('RAPPROCHEMENT'!I13+('RAPPROCHEMENT'!C13-'RAPPROCHEMENT'!D13)-'RAPPROCHEMENT'!F13+'RAPPROCHEMENT'!G13))&gt;=0.01,ABS('RAPPROCHEMENT'!I13-'RAPPROCHEMENT'!K12)&gt;=0.01),1,0))+IF(OR(COUNT('RAPPROCHEMENT'!C14,'RAPPROCHEMENT'!D14,'RAPPROCHEMENT'!F14,'RAPPROCHEMENT'!G14,'RAPPROCHEMENT'!I14,'RAPPROCHEMENT'!K14)&lt;6,COUNT('RAPPROCHEMENT'!K13)=0),0,IF(OR(ABS('RAPPROCHEMENT'!K14-('RAPPROCHEMENT'!I14+('RAPPROCHEMENT'!C14-'RAPPROCHEMENT'!D14)-'RAPPROCHEMENT'!F14+'RAPPROCHEMENT'!G14))&gt;=0.01,ABS('RAPPROCHEMENT'!I14-'RAPPROCHEMENT'!K13)&gt;=0.01),1,0))+IF(OR(COUNT('RAPPROCHEMENT'!C15,'RAPPROCHEMENT'!D15,'RAPPROCHEMENT'!F15,'RAPPROCHEMENT'!G15,'RAPPROCHEMENT'!I15,'RAPPROCHEMENT'!K15)&lt;6,COUNT('RAPPROCHEMENT'!K14)=0),0,IF(OR(ABS('RAPPROCHEMENT'!K15-('RAPPROCHEMENT'!I15+('RAPPROCHEMENT'!C15-'RAPPROCHEMENT'!D15)-'RAPPROCHEMENT'!F15+'RAPPROCHEMENT'!G15))&gt;=0.01,ABS('RAPPROCHEMENT'!I15-'RAPPROCHEMENT'!K14)&gt;=0.01),1,0))+IF(OR(COUNT('RAPPROCHEMENT'!C16,'RAPPROCHEMENT'!D16,'RAPPROCHEMENT'!F16,'RAPPROCHEMENT'!G16,'RAPPROCHEMENT'!I16,'RAPPROCHEMENT'!K16)&lt;6,COUNT('RAPPROCHEMENT'!K15)=0),0,IF(OR(ABS('RAPPROCHEMENT'!K16-('RAPPROCHEMENT'!I16+('RAPPROCHEMENT'!C16-'RAPPROCHEMENT'!D16)-'RAPPROCHEMENT'!F16+'RAPPROCHEMENT'!G16))&gt;=0.01,ABS('RAPPROCHEMENT'!I16-'RAPPROCHEMENT'!K15)&gt;=0.01),1,0))+IF(OR(COUNT('RAPPROCHEMENT'!C17,'RAPPROCHEMENT'!D17,'RAPPROCHEMENT'!F17,'RAPPROCHEMENT'!G17,'RAPPROCHEMENT'!I17,'RAPPROCHEMENT'!K17)&lt;6,COUNT('RAPPROCHEMENT'!K16)=0),0,IF(OR(ABS('RAPPROCHEMENT'!K17-('RAPPROCHEMENT'!I17+('RAPPROCHEMENT'!C17-'RAPPROCHEMENT'!D17)-'RAPPROCHEMENT'!F17+'RAPPROCHEMENT'!G17))&gt;=0.01,ABS('RAPPROCHEMENT'!I17-'RAPPROCHEMENT'!K16)&gt;=0.01),1,0)))&gt;0,"STATUT ANNUEL: STOP",IF((IF(COUNT('RAPPROCHEMENT'!C6,'RAPPROCHEMENT'!D6,'RAPPROCHEMENT'!F6,'RAPPROCHEMENT'!G6,'RAPPROCHEMENT'!I6,'RAPPROCHEMENT'!K6)&lt;6,1,0)+IF(OR(COUNT('RAPPROCHEMENT'!C7,'RAPPROCHEMENT'!D7,'RAPPROCHEMENT'!F7,'RAPPROCHEMENT'!G7,'RAPPROCHEMENT'!I7,'RAPPROCHEMENT'!K7)&lt;6,COUNT('RAPPROCHEMENT'!K6)=0),1,0)+IF(OR(COUNT('RAPPROCHEMENT'!C8,'RAPPROCHEMENT'!D8,'RAPPROCHEMENT'!F8,'RAPPROCHEMENT'!G8,'RAPPROCHEMENT'!I8,'RAPPROCHEMENT'!K8)&lt;6,COUNT('RAPPROCHEMENT'!K7)=0),1,0)+IF(OR(COUNT('RAPPROCHEMENT'!C9,'RAPPROCHEMENT'!D9,'RAPPROCHEMENT'!F9,'RAPPROCHEMENT'!G9,'RAPPROCHEMENT'!I9,'RAPPROCHEMENT'!K9)&lt;6,COUNT('RAPPROCHEMENT'!K8)=0),1,0)+IF(OR(COUNT('RAPPROCHEMENT'!C10,'RAPPROCHEMENT'!D10,'RAPPROCHEMENT'!F10,'RAPPROCHEMENT'!G10,'RAPPROCHEMENT'!I10,'RAPPROCHEMENT'!K10)&lt;6,COUNT('RAPPROCHEMENT'!K9)=0),1,0)+IF(OR(COUNT('RAPPROCHEMENT'!C11,'RAPPROCHEMENT'!D11,'RAPPROCHEMENT'!F11,'RAPPROCHEMENT'!G11,'RAPPROCHEMENT'!I11,'RAPPROCHEMENT'!K11)&lt;6,COUNT('RAPPROCHEMENT'!K10)=0),1,0)+IF(OR(COUNT('RAPPROCHEMENT'!C12,'RAPPROCHEMENT'!D12,'RAPPROCHEMENT'!F12,'RAPPROCHEMENT'!G12,'RAPPROCHEMENT'!I12,'RAPPROCHEMENT'!K12)&lt;6,COUNT('RAPPROCHEMENT'!K11)=0),1,0)+IF(OR(COUNT('RAPPROCHEMENT'!C13,'RAPPROCHEMENT'!D13,'RAPPROCHEMENT'!F13,'RAPPROCHEMENT'!G13,'RAPPROCHEMENT'!I13,'RAPPROCHEMENT'!K13)&lt;6,COUNT('RAPPROCHEMENT'!K12)=0),1,0)+IF(OR(COUNT('RAPPROCHEMENT'!C14,'RAPPROCHEMENT'!D14,'RAPPROCHEMENT'!F14,'RAPPROCHEMENT'!G14,'RAPPROCHEMENT'!I14,'RAPPROCHEMENT'!K14)&lt;6,COUNT('RAPPROCHEMENT'!K13)=0),1,0)+IF(OR(COUNT('RAPPROCHEMENT'!C15,'RAPPROCHEMENT'!D15,'RAPPROCHEMENT'!F15,'RAPPROCHEMENT'!G15,'RAPPROCHEMENT'!I15,'RAPPROCHEMENT'!K15)&lt;6,COUNT('RAPPROCHEMENT'!K14)=0),1,0)+IF(OR(COUNT('RAPPROCHEMENT'!C16,'RAPPROCHEMENT'!D16,'RAPPROCHEMENT'!F16,'RAPPROCHEMENT'!G16,'RAPPROCHEMENT'!I16,'RAPPROCHEMENT'!K16)&lt;6,COUNT('RAPPROCHEMENT'!K15)=0),1,0)+IF(OR(COUNT('RAPPROCHEMENT'!C17,'RAPPROCHEMENT'!D17,'RAPPROCHEMENT'!F17,'RAPPROCHEMENT'!G17,'RAPPROCHEMENT'!I17,'RAPPROCHEMENT'!K17)&lt;6,COUNT('RAPPROCHEMENT'!K16)=0),1,0))&gt;0,"STATUT ANNUEL: À REVOIR","STATUT ANNUEL: PASS")),0,1)</x:f>
        <x:v>0</x:v>
      </x:c>
      <x:c r="D29" s="158" t="n">
        <x:f>0</x:f>
        <x:v>0</x:v>
      </x:c>
      <x:c r="E29" s="158" t="n">
        <x:f>IF(AND(C29="",D29=""),0,IF(OR(C29="",D29=""),1,C29-D29))</x:f>
        <x:v>0</x:v>
      </x:c>
      <x:c r="F29" s="19" t="str">
        <x:f>IF(ABS(E29)&lt;0.0001,"PASS","FAIL")</x:f>
        <x:v>PASS</x:v>
      </x:c>
      <x:c r="G29" s="19" t="str">
        <x:v>RAPPROCHEMENT!C20:N21</x:v>
      </x:c>
      <x:c r="H29" s="19"/>
    </x:row>
    <x:row r="30" ht="15" hidden="0" customHeight="1">
      <x:c r="A30" s="19"/>
      <x:c r="B30" s="19" t="str">
        <x:v>Rapprochement — données observées</x:v>
      </x:c>
      <x:c r="C30" s="158" t="n">
        <x:f>IF((IF(COUNT('RAPPROCHEMENT'!C6,'RAPPROCHEMENT'!D6,'RAPPROCHEMENT'!F6,'RAPPROCHEMENT'!G6,'RAPPROCHEMENT'!I6,'RAPPROCHEMENT'!K6)&lt;6,0,IF(OR(ABS('RAPPROCHEMENT'!K6-('RAPPROCHEMENT'!I6+('RAPPROCHEMENT'!C6-'RAPPROCHEMENT'!D6)-'RAPPROCHEMENT'!F6+'RAPPROCHEMENT'!G6))&gt;=0.01,0),1,0))+IF(OR(COUNT('RAPPROCHEMENT'!C7,'RAPPROCHEMENT'!D7,'RAPPROCHEMENT'!F7,'RAPPROCHEMENT'!G7,'RAPPROCHEMENT'!I7,'RAPPROCHEMENT'!K7)&lt;6,COUNT('RAPPROCHEMENT'!K6)=0),0,IF(OR(ABS('RAPPROCHEMENT'!K7-('RAPPROCHEMENT'!I7+('RAPPROCHEMENT'!C7-'RAPPROCHEMENT'!D7)-'RAPPROCHEMENT'!F7+'RAPPROCHEMENT'!G7))&gt;=0.01,ABS('RAPPROCHEMENT'!I7-'RAPPROCHEMENT'!K6)&gt;=0.01),1,0))+IF(OR(COUNT('RAPPROCHEMENT'!C8,'RAPPROCHEMENT'!D8,'RAPPROCHEMENT'!F8,'RAPPROCHEMENT'!G8,'RAPPROCHEMENT'!I8,'RAPPROCHEMENT'!K8)&lt;6,COUNT('RAPPROCHEMENT'!K7)=0),0,IF(OR(ABS('RAPPROCHEMENT'!K8-('RAPPROCHEMENT'!I8+('RAPPROCHEMENT'!C8-'RAPPROCHEMENT'!D8)-'RAPPROCHEMENT'!F8+'RAPPROCHEMENT'!G8))&gt;=0.01,ABS('RAPPROCHEMENT'!I8-'RAPPROCHEMENT'!K7)&gt;=0.01),1,0))+IF(OR(COUNT('RAPPROCHEMENT'!C9,'RAPPROCHEMENT'!D9,'RAPPROCHEMENT'!F9,'RAPPROCHEMENT'!G9,'RAPPROCHEMENT'!I9,'RAPPROCHEMENT'!K9)&lt;6,COUNT('RAPPROCHEMENT'!K8)=0),0,IF(OR(ABS('RAPPROCHEMENT'!K9-('RAPPROCHEMENT'!I9+('RAPPROCHEMENT'!C9-'RAPPROCHEMENT'!D9)-'RAPPROCHEMENT'!F9+'RAPPROCHEMENT'!G9))&gt;=0.01,ABS('RAPPROCHEMENT'!I9-'RAPPROCHEMENT'!K8)&gt;=0.01),1,0))+IF(OR(COUNT('RAPPROCHEMENT'!C10,'RAPPROCHEMENT'!D10,'RAPPROCHEMENT'!F10,'RAPPROCHEMENT'!G10,'RAPPROCHEMENT'!I10,'RAPPROCHEMENT'!K10)&lt;6,COUNT('RAPPROCHEMENT'!K9)=0),0,IF(OR(ABS('RAPPROCHEMENT'!K10-('RAPPROCHEMENT'!I10+('RAPPROCHEMENT'!C10-'RAPPROCHEMENT'!D10)-'RAPPROCHEMENT'!F10+'RAPPROCHEMENT'!G10))&gt;=0.01,ABS('RAPPROCHEMENT'!I10-'RAPPROCHEMENT'!K9)&gt;=0.01),1,0))+IF(OR(COUNT('RAPPROCHEMENT'!C11,'RAPPROCHEMENT'!D11,'RAPPROCHEMENT'!F11,'RAPPROCHEMENT'!G11,'RAPPROCHEMENT'!I11,'RAPPROCHEMENT'!K11)&lt;6,COUNT('RAPPROCHEMENT'!K10)=0),0,IF(OR(ABS('RAPPROCHEMENT'!K11-('RAPPROCHEMENT'!I11+('RAPPROCHEMENT'!C11-'RAPPROCHEMENT'!D11)-'RAPPROCHEMENT'!F11+'RAPPROCHEMENT'!G11))&gt;=0.01,ABS('RAPPROCHEMENT'!I11-'RAPPROCHEMENT'!K10)&gt;=0.01),1,0))+IF(OR(COUNT('RAPPROCHEMENT'!C12,'RAPPROCHEMENT'!D12,'RAPPROCHEMENT'!F12,'RAPPROCHEMENT'!G12,'RAPPROCHEMENT'!I12,'RAPPROCHEMENT'!K12)&lt;6,COUNT('RAPPROCHEMENT'!K11)=0),0,IF(OR(ABS('RAPPROCHEMENT'!K12-('RAPPROCHEMENT'!I12+('RAPPROCHEMENT'!C12-'RAPPROCHEMENT'!D12)-'RAPPROCHEMENT'!F12+'RAPPROCHEMENT'!G12))&gt;=0.01,ABS('RAPPROCHEMENT'!I12-'RAPPROCHEMENT'!K11)&gt;=0.01),1,0))+IF(OR(COUNT('RAPPROCHEMENT'!C13,'RAPPROCHEMENT'!D13,'RAPPROCHEMENT'!F13,'RAPPROCHEMENT'!G13,'RAPPROCHEMENT'!I13,'RAPPROCHEMENT'!K13)&lt;6,COUNT('RAPPROCHEMENT'!K12)=0),0,IF(OR(ABS('RAPPROCHEMENT'!K13-('RAPPROCHEMENT'!I13+('RAPPROCHEMENT'!C13-'RAPPROCHEMENT'!D13)-'RAPPROCHEMENT'!F13+'RAPPROCHEMENT'!G13))&gt;=0.01,ABS('RAPPROCHEMENT'!I13-'RAPPROCHEMENT'!K12)&gt;=0.01),1,0))+IF(OR(COUNT('RAPPROCHEMENT'!C14,'RAPPROCHEMENT'!D14,'RAPPROCHEMENT'!F14,'RAPPROCHEMENT'!G14,'RAPPROCHEMENT'!I14,'RAPPROCHEMENT'!K14)&lt;6,COUNT('RAPPROCHEMENT'!K13)=0),0,IF(OR(ABS('RAPPROCHEMENT'!K14-('RAPPROCHEMENT'!I14+('RAPPROCHEMENT'!C14-'RAPPROCHEMENT'!D14)-'RAPPROCHEMENT'!F14+'RAPPROCHEMENT'!G14))&gt;=0.01,ABS('RAPPROCHEMENT'!I14-'RAPPROCHEMENT'!K13)&gt;=0.01),1,0))+IF(OR(COUNT('RAPPROCHEMENT'!C15,'RAPPROCHEMENT'!D15,'RAPPROCHEMENT'!F15,'RAPPROCHEMENT'!G15,'RAPPROCHEMENT'!I15,'RAPPROCHEMENT'!K15)&lt;6,COUNT('RAPPROCHEMENT'!K14)=0),0,IF(OR(ABS('RAPPROCHEMENT'!K15-('RAPPROCHEMENT'!I15+('RAPPROCHEMENT'!C15-'RAPPROCHEMENT'!D15)-'RAPPROCHEMENT'!F15+'RAPPROCHEMENT'!G15))&gt;=0.01,ABS('RAPPROCHEMENT'!I15-'RAPPROCHEMENT'!K14)&gt;=0.01),1,0))+IF(OR(COUNT('RAPPROCHEMENT'!C16,'RAPPROCHEMENT'!D16,'RAPPROCHEMENT'!F16,'RAPPROCHEMENT'!G16,'RAPPROCHEMENT'!I16,'RAPPROCHEMENT'!K16)&lt;6,COUNT('RAPPROCHEMENT'!K15)=0),0,IF(OR(ABS('RAPPROCHEMENT'!K16-('RAPPROCHEMENT'!I16+('RAPPROCHEMENT'!C16-'RAPPROCHEMENT'!D16)-'RAPPROCHEMENT'!F16+'RAPPROCHEMENT'!G16))&gt;=0.01,ABS('RAPPROCHEMENT'!I16-'RAPPROCHEMENT'!K15)&gt;=0.01),1,0))+IF(OR(COUNT('RAPPROCHEMENT'!C17,'RAPPROCHEMENT'!D17,'RAPPROCHEMENT'!F17,'RAPPROCHEMENT'!G17,'RAPPROCHEMENT'!I17,'RAPPROCHEMENT'!K17)&lt;6,COUNT('RAPPROCHEMENT'!K16)=0),0,IF(OR(ABS('RAPPROCHEMENT'!K17-('RAPPROCHEMENT'!I17+('RAPPROCHEMENT'!C17-'RAPPROCHEMENT'!D17)-'RAPPROCHEMENT'!F17+'RAPPROCHEMENT'!G17))&gt;=0.01,ABS('RAPPROCHEMENT'!I17-'RAPPROCHEMENT'!K16)&gt;=0.01),1,0)))&gt;0,1,IF((IF(COUNT('RAPPROCHEMENT'!C6,'RAPPROCHEMENT'!D6,'RAPPROCHEMENT'!F6,'RAPPROCHEMENT'!G6,'RAPPROCHEMENT'!I6,'RAPPROCHEMENT'!K6)&lt;6,1,0)+IF(OR(COUNT('RAPPROCHEMENT'!C7,'RAPPROCHEMENT'!D7,'RAPPROCHEMENT'!F7,'RAPPROCHEMENT'!G7,'RAPPROCHEMENT'!I7,'RAPPROCHEMENT'!K7)&lt;6,COUNT('RAPPROCHEMENT'!K6)=0),1,0)+IF(OR(COUNT('RAPPROCHEMENT'!C8,'RAPPROCHEMENT'!D8,'RAPPROCHEMENT'!F8,'RAPPROCHEMENT'!G8,'RAPPROCHEMENT'!I8,'RAPPROCHEMENT'!K8)&lt;6,COUNT('RAPPROCHEMENT'!K7)=0),1,0)+IF(OR(COUNT('RAPPROCHEMENT'!C9,'RAPPROCHEMENT'!D9,'RAPPROCHEMENT'!F9,'RAPPROCHEMENT'!G9,'RAPPROCHEMENT'!I9,'RAPPROCHEMENT'!K9)&lt;6,COUNT('RAPPROCHEMENT'!K8)=0),1,0)+IF(OR(COUNT('RAPPROCHEMENT'!C10,'RAPPROCHEMENT'!D10,'RAPPROCHEMENT'!F10,'RAPPROCHEMENT'!G10,'RAPPROCHEMENT'!I10,'RAPPROCHEMENT'!K10)&lt;6,COUNT('RAPPROCHEMENT'!K9)=0),1,0)+IF(OR(COUNT('RAPPROCHEMENT'!C11,'RAPPROCHEMENT'!D11,'RAPPROCHEMENT'!F11,'RAPPROCHEMENT'!G11,'RAPPROCHEMENT'!I11,'RAPPROCHEMENT'!K11)&lt;6,COUNT('RAPPROCHEMENT'!K10)=0),1,0)+IF(OR(COUNT('RAPPROCHEMENT'!C12,'RAPPROCHEMENT'!D12,'RAPPROCHEMENT'!F12,'RAPPROCHEMENT'!G12,'RAPPROCHEMENT'!I12,'RAPPROCHEMENT'!K12)&lt;6,COUNT('RAPPROCHEMENT'!K11)=0),1,0)+IF(OR(COUNT('RAPPROCHEMENT'!C13,'RAPPROCHEMENT'!D13,'RAPPROCHEMENT'!F13,'RAPPROCHEMENT'!G13,'RAPPROCHEMENT'!I13,'RAPPROCHEMENT'!K13)&lt;6,COUNT('RAPPROCHEMENT'!K12)=0),1,0)+IF(OR(COUNT('RAPPROCHEMENT'!C14,'RAPPROCHEMENT'!D14,'RAPPROCHEMENT'!F14,'RAPPROCHEMENT'!G14,'RAPPROCHEMENT'!I14,'RAPPROCHEMENT'!K14)&lt;6,COUNT('RAPPROCHEMENT'!K13)=0),1,0)+IF(OR(COUNT('RAPPROCHEMENT'!C15,'RAPPROCHEMENT'!D15,'RAPPROCHEMENT'!F15,'RAPPROCHEMENT'!G15,'RAPPROCHEMENT'!I15,'RAPPROCHEMENT'!K15)&lt;6,COUNT('RAPPROCHEMENT'!K14)=0),1,0)+IF(OR(COUNT('RAPPROCHEMENT'!C16,'RAPPROCHEMENT'!D16,'RAPPROCHEMENT'!F16,'RAPPROCHEMENT'!G16,'RAPPROCHEMENT'!I16,'RAPPROCHEMENT'!K16)&lt;6,COUNT('RAPPROCHEMENT'!K15)=0),1,0)+IF(OR(COUNT('RAPPROCHEMENT'!C17,'RAPPROCHEMENT'!D17,'RAPPROCHEMENT'!F17,'RAPPROCHEMENT'!G17,'RAPPROCHEMENT'!I17,'RAPPROCHEMENT'!K17)&lt;6,COUNT('RAPPROCHEMENT'!K16)=0),1,0))&gt;0,0.5,0))</x:f>
        <x:v>0</x:v>
      </x:c>
      <x:c r="D30" s="158" t="n">
        <x:f>0</x:f>
        <x:v>0</x:v>
      </x:c>
      <x:c r="E30" s="158" t="n">
        <x:f>IF(AND(C30="",D30=""),0,IF(OR(C30="",D30=""),1,C30-D30))</x:f>
        <x:v>0</x:v>
      </x:c>
      <x:c r="F30" s="19" t="str">
        <x:f>IF(C30=0,"PASS",IF(C30=0.5,"REVIEW","FAIL"))</x:f>
        <x:v>PASS</x:v>
      </x:c>
      <x:c r="G30" s="19" t="str">
        <x:v>RAPPROCHEMENT!C6:K17</x:v>
      </x:c>
      <x:c r="H30" s="19"/>
    </x:row>
    <x:row r="31" ht="15" hidden="0" customHeight="1">
      <x:c r="A31" s="19"/>
      <x:c r="B31" s="20" t="str">
        <x:v>Pont MRR vers factures</x:v>
      </x:c>
      <x:c r="C31" s="159" t="n">
        <x:f>ABS('RAPPROCHEMENT'!C24-SUM('MRR'!H6:H17))+ABS('RAPPROCHEMENT'!G24-('RAPPROCHEMENT'!C24+'RAPPROCHEMENT'!E24))+ABS('RAPPROCHEMENT'!C20-'RAPPROCHEMENT'!G24)</x:f>
        <x:v>0</x:v>
      </x:c>
      <x:c r="D31" s="159" t="n">
        <x:f>0</x:f>
        <x:v>0</x:v>
      </x:c>
      <x:c r="E31" s="159" t="n">
        <x:f>IF(AND(C31="",D31=""),0,IF(OR(C31="",D31=""),1,C31-D31))</x:f>
        <x:v>0</x:v>
      </x:c>
      <x:c r="F31" s="20" t="str">
        <x:f>IF(ABS(E31)&lt;0.0001,"PASS","FAIL")</x:f>
        <x:v>PASS</x:v>
      </x:c>
      <x:c r="G31" s="20" t="str">
        <x:v>RAPPROCHEMENT!C24:G24</x:v>
      </x:c>
      <x:c r="H31" s="19"/>
    </x:row>
  </x:sheetData>
  <x:mergeCells>
    <x:mergeCell ref="A1:H2"/>
    <x:mergeCell ref="A3:H3"/>
    <x:mergeCell ref="B4:H4"/>
    <x:mergeCell ref="B5:H5"/>
    <x:mergeCell ref="B6:H6"/>
  </x:mergeCells>
  <x:conditionalFormatting sqref="B4:H4">
    <x:cfRule type="containsText" dxfId="9" priority="1" operator="containsText" text="FAIL"/>
    <x:cfRule type="containsText" dxfId="10" priority="2" operator="containsText" text="REVIEW"/>
  </x:conditionalFormatting>
  <x:conditionalFormatting sqref="B5:H5">
    <x:cfRule type="containsText" dxfId="11" priority="3" operator="containsText" text="MODIFIÉE"/>
  </x:conditionalFormatting>
  <x:conditionalFormatting sqref="B6:H6">
    <x:cfRule type="containsText" dxfId="12" priority="4" operator="containsText" text="STOP"/>
    <x:cfRule type="containsText" dxfId="13" priority="5" operator="containsText" text="À REVOIR"/>
  </x:conditionalFormatting>
  <x:conditionalFormatting sqref="F9:F31">
    <x:cfRule type="containsText" dxfId="14" priority="6" operator="containsText" text="FAIL"/>
    <x:cfRule type="containsText" dxfId="15" priority="7" operator="containsText" text="PASS"/>
    <x:cfRule type="containsText" dxfId="16" priority="8" operator="containsText" text="REVIEW"/>
  </x:conditionalFormatting>
  <x:pageMargins left="0.7" right="0.7" top="0.75" bottom="0.75" header="0.3" footer="0.3"/>
</x:worksheet>
</file>

<file path=xl/worksheets/sheet10.xml><?xml version="1.0" encoding="utf-8"?>
<x:worksheet xmlns:x="http://schemas.openxmlformats.org/spreadsheetml/2006/main">
  <x:sheetViews>
    <x:sheetView showGridLines="0" workbookViewId="0"/>
  </x:sheetViews>
  <x:sheetFormatPr defaultRowHeight="15"/>
  <x:cols>
    <x:col min="1" max="1" width="4" hidden="0" customWidth="1"/>
    <x:col min="2" max="2" width="24" hidden="0" customWidth="1"/>
    <x:col min="3" max="3" width="24" hidden="0" customWidth="1"/>
    <x:col min="4" max="4" width="44" hidden="0" customWidth="1"/>
    <x:col min="5" max="5" width="21" hidden="0" customWidth="1"/>
    <x:col min="6" max="6" width="22" hidden="0" customWidth="1"/>
    <x:col min="7" max="7" width="28" hidden="0" customWidth="1"/>
    <x:col min="8" max="8" width="15" hidden="0" customWidth="1"/>
    <x:col min="9" max="9" width="4" hidden="0" customWidth="1"/>
  </x:cols>
  <x:sheetData>
    <x:row r="1" ht="28" customHeight="1">
      <x:c r="A1" s="135" t="str">
        <x:v>Sources et limites</x:v>
      </x:c>
      <x:c r="B1" s="135"/>
      <x:c r="C1" s="135"/>
      <x:c r="D1" s="135"/>
      <x:c r="E1" s="135"/>
      <x:c r="F1" s="135"/>
      <x:c r="G1" s="135"/>
      <x:c r="H1" s="135"/>
      <x:c r="I1" s="135"/>
    </x:row>
    <x:row r="2" ht="28" customHeight="1">
      <x:c r="A2" s="135"/>
      <x:c r="B2" s="135"/>
      <x:c r="C2" s="135"/>
      <x:c r="D2" s="135"/>
      <x:c r="E2" s="135"/>
      <x:c r="F2" s="135"/>
      <x:c r="G2" s="135"/>
      <x:c r="H2" s="135"/>
      <x:c r="I2" s="135"/>
    </x:row>
    <x:row r="3" ht="15" hidden="0" customHeight="1">
      <x:c r="A3" s="8" t="str">
        <x:v>URLs à rouvrir avant toute mise en production. Les sources produit documentent un fournisseur ; elles ne prouvent ni obligation générale, ni gain.</x:v>
      </x:c>
      <x:c r="B3" s="8"/>
      <x:c r="C3" s="8"/>
      <x:c r="D3" s="8"/>
      <x:c r="E3" s="8"/>
      <x:c r="F3" s="8"/>
      <x:c r="G3" s="8"/>
      <x:c r="H3" s="8"/>
      <x:c r="I3" s="8"/>
    </x:row>
    <x:row r="4" ht="15" hidden="0" customHeight="1">
      <x:c r="A4" s="19"/>
      <x:c r="B4" s="19"/>
      <x:c r="C4" s="19"/>
      <x:c r="D4" s="19"/>
      <x:c r="E4" s="19"/>
      <x:c r="F4" s="19"/>
      <x:c r="G4" s="19"/>
      <x:c r="H4" s="19"/>
      <x:c r="I4" s="19"/>
    </x:row>
    <x:row r="5" ht="15" hidden="0" customHeight="1">
      <x:c r="A5" s="19"/>
      <x:c r="B5" s="40" t="str">
        <x:v>Sujet</x:v>
      </x:c>
      <x:c r="C5" s="40" t="str">
        <x:v>Source</x:v>
      </x:c>
      <x:c r="D5" s="40" t="str">
        <x:v>URL</x:v>
      </x:c>
      <x:c r="E5" s="40" t="str">
        <x:v>Usage autorisé</x:v>
      </x:c>
      <x:c r="F5" s="40" t="str">
        <x:v>Limite</x:v>
      </x:c>
      <x:c r="G5" s="40" t="str">
        <x:v>Action de maintenance</x:v>
      </x:c>
      <x:c r="H5" s="40" t="str">
        <x:v>Vérifié le</x:v>
      </x:c>
      <x:c r="I5" s="19"/>
    </x:row>
    <x:row r="6" ht="26.399999618530273" hidden="0" customHeight="1">
      <x:c r="A6" s="19"/>
      <x:c r="B6" s="21" t="str">
        <x:v>Réforme française</x:v>
      </x:c>
      <x:c r="C6" s="21" t="str">
        <x:v>DGFiP / impots.gouv.fr</x:v>
      </x:c>
      <x:c r="D6" s="131" t="str">
        <x:v>https://www.impots.gouv.fr/professionnel/questions/partir-de-quand-suis-je-concerne-par-la-reforme-de-la-facturation</x:v>
      </x:c>
      <x:c r="E6" s="21" t="str">
        <x:v>Calendrier réception, émission et e-reporting</x:v>
      </x:c>
      <x:c r="F6" s="21" t="str">
        <x:v>Le cas dépend de la taille, de l’opération et du statut</x:v>
      </x:c>
      <x:c r="G6" s="21" t="str">
        <x:v>Rouvrir avant publication et intégration</x:v>
      </x:c>
      <x:c r="H6" s="133" t="str">
        <x:v>2026-07-28</x:v>
      </x:c>
      <x:c r="I6" s="19"/>
    </x:row>
    <x:row r="7" ht="26.399999618530273" hidden="0" customHeight="1">
      <x:c r="A7" s="19"/>
      <x:c r="B7" s="21" t="str">
        <x:v>Plateformes agréées</x:v>
      </x:c>
      <x:c r="C7" s="21" t="str">
        <x:v>DGFiP</x:v>
      </x:c>
      <x:c r="D7" s="131" t="str">
        <x:v>https://www.impots.gouv.fr/facturation-electronique-et-plateformes-agreees</x:v>
      </x:c>
      <x:c r="E7" s="21" t="str">
        <x:v>Rôle et liste dynamique des plateformes</x:v>
      </x:c>
      <x:c r="F7" s="21" t="str">
        <x:v>Ne pas figer une liste dans le guide</x:v>
      </x:c>
      <x:c r="G7" s="21" t="str">
        <x:v>Vérifier terminologie et liste</x:v>
      </x:c>
      <x:c r="H7" s="133" t="str">
        <x:v>2026-07-28</x:v>
      </x:c>
      <x:c r="I7" s="19"/>
    </x:row>
    <x:row r="8" ht="26.399999618530273" hidden="0" customHeight="1">
      <x:c r="A8" s="19"/>
      <x:c r="B8" s="21" t="str">
        <x:v>Synthèse dirigeant</x:v>
      </x:c>
      <x:c r="C8" s="21" t="str">
        <x:v>Ministère de l’Économie</x:v>
      </x:c>
      <x:c r="D8" s="131" t="str">
        <x:v>https://www.economie.gouv.fr/tout-savoir-sur-la-facturation-electronique-pour-les-entreprises</x:v>
      </x:c>
      <x:c r="E8" s="21" t="str">
        <x:v>Calendrier, mentions et préparation</x:v>
      </x:c>
      <x:c r="F8" s="21" t="str">
        <x:v>Page évolutive</x:v>
      </x:c>
      <x:c r="G8" s="21" t="str">
        <x:v>Rouvrir à chaque mise à jour</x:v>
      </x:c>
      <x:c r="H8" s="133" t="str">
        <x:v>2026-07-28</x:v>
      </x:c>
      <x:c r="I8" s="19"/>
    </x:row>
    <x:row r="9" ht="26.399999618530273" hidden="0" customHeight="1">
      <x:c r="A9" s="19"/>
      <x:c r="B9" s="21" t="str">
        <x:v>Événements d’abonnement</x:v>
      </x:c>
      <x:c r="C9" s="21" t="str">
        <x:v>Stripe Docs</x:v>
      </x:c>
      <x:c r="D9" s="131" t="str">
        <x:v>https://docs.stripe.com/billing/subscriptions/webhooks</x:v>
      </x:c>
      <x:c r="E9" s="21" t="str">
        <x:v>Exemple concret d’événements asynchrones</x:v>
      </x:c>
      <x:c r="F9" s="21" t="str">
        <x:v>Modèle fournisseur, pas vérité universelle</x:v>
      </x:c>
      <x:c r="G9" s="21" t="str">
        <x:v>Tester la version intégrée</x:v>
      </x:c>
      <x:c r="H9" s="133" t="str">
        <x:v>2026-07-28</x:v>
      </x:c>
      <x:c r="I9" s="19"/>
    </x:row>
    <x:row r="10" ht="26.399999618530273" hidden="0" customHeight="1">
      <x:c r="A10" s="19"/>
      <x:c r="B10" s="21" t="str">
        <x:v>Prorata</x:v>
      </x:c>
      <x:c r="C10" s="21" t="str">
        <x:v>Stripe Docs</x:v>
      </x:c>
      <x:c r="D10" s="131" t="str">
        <x:v>https://docs.stripe.com/billing/subscriptions/prorations</x:v>
      </x:c>
      <x:c r="E10" s="21" t="str">
        <x:v>Paramètres et cas de prorata</x:v>
      </x:c>
      <x:c r="F10" s="21" t="str">
        <x:v>Politique commerciale et taxe restent à décider</x:v>
      </x:c>
      <x:c r="G10" s="21" t="str">
        <x:v>Tester une facture réelle</x:v>
      </x:c>
      <x:c r="H10" s="133" t="str">
        <x:v>2026-07-28</x:v>
      </x:c>
      <x:c r="I10" s="19"/>
    </x:row>
    <x:row r="11" ht="39.599998474121094" hidden="0" customHeight="1">
      <x:c r="A11" s="19"/>
      <x:c r="B11" s="21" t="str">
        <x:v>Lieu de taxation</x:v>
      </x:c>
      <x:c r="C11" s="21" t="str">
        <x:v>Commission européenne</x:v>
      </x:c>
      <x:c r="D11" s="131" t="str">
        <x:v>https://taxation-customs.ec.europa.eu/taxation/vat/vat-directive/place-taxation_en</x:v>
      </x:c>
      <x:c r="E11" s="21" t="str">
        <x:v>Montrer que service et statut client doivent être qualifiés</x:v>
      </x:c>
      <x:c r="F11" s="21" t="str">
        <x:v>Ne fournit pas une recette universelle SaaS</x:v>
      </x:c>
      <x:c r="G11" s="21" t="str">
        <x:v>Escalader vers fiscaliste</x:v>
      </x:c>
      <x:c r="H11" s="133" t="str">
        <x:v>2026-07-28</x:v>
      </x:c>
      <x:c r="I11" s="19"/>
    </x:row>
    <x:row r="12" ht="26.399999618530273" hidden="0" customHeight="1">
      <x:c r="A12" s="19"/>
      <x:c r="B12" s="21" t="str">
        <x:v>Mentions facture</x:v>
      </x:c>
      <x:c r="C12" s="21" t="str">
        <x:v>Service Public Entreprendre</x:v>
      </x:c>
      <x:c r="D12" s="131" t="str">
        <x:v>https://entreprendre.service-public.fr/vosdroits/F31808</x:v>
      </x:c>
      <x:c r="E12" s="21" t="str">
        <x:v>Cadre général des mentions et conservation</x:v>
      </x:c>
      <x:c r="F12" s="21" t="str">
        <x:v>Cas concret à valider</x:v>
      </x:c>
      <x:c r="G12" s="21" t="str">
        <x:v>Rouvrir avant configuration</x:v>
      </x:c>
      <x:c r="H12" s="133" t="str">
        <x:v>2026-07-28</x:v>
      </x:c>
      <x:c r="I12" s="19"/>
    </x:row>
    <x:row r="13" ht="26.399999618530273" hidden="0" customHeight="1">
      <x:c r="A13" s="19"/>
      <x:c r="B13" s="21" t="str">
        <x:v>Protection des données</x:v>
      </x:c>
      <x:c r="C13" s="21" t="str">
        <x:v>CNIL</x:v>
      </x:c>
      <x:c r="D13" s="131" t="str">
        <x:v>https://www.cnil.fr/fr/securite-securiser-les-echanges-avec-lexterieur</x:v>
      </x:c>
      <x:c r="E13" s="21" t="str">
        <x:v>Sécuriser les échanges et accès</x:v>
      </x:c>
      <x:c r="F13" s="21" t="str">
        <x:v>Mesures à adapter au risque</x:v>
      </x:c>
      <x:c r="G13" s="21" t="str">
        <x:v>Revue sécurité avant mise en service</x:v>
      </x:c>
      <x:c r="H13" s="133" t="str">
        <x:v>2026-07-28</x:v>
      </x:c>
      <x:c r="I13" s="19"/>
    </x:row>
    <x:row r="14" ht="26.399999618530273" hidden="0" customHeight="1">
      <x:c r="A14" s="19"/>
      <x:c r="B14" s="21" t="str">
        <x:v>Royaume-Uni — VAT numérique</x:v>
      </x:c>
      <x:c r="C14" s="21" t="str">
        <x:v>HMRC</x:v>
      </x:c>
      <x:c r="D14" s="131" t="str">
        <x:v>https://www.gov.uk/guidance/the-vat-rules-if-you-supply-digital-services-to-private-consumers</x:v>
      </x:c>
      <x:c r="E14" s="21" t="str">
        <x:v>Qualifier lieu, statut client, preuves et plateforme</x:v>
      </x:c>
      <x:c r="F14" s="21" t="str">
        <x:v>Ne vaut pas règle universelle pour toute offre SaaS</x:v>
      </x:c>
      <x:c r="G14" s="21" t="str">
        <x:v>Rouvrir et escalader les contradictions</x:v>
      </x:c>
      <x:c r="H14" s="133" t="str">
        <x:v>2026-07-28</x:v>
      </x:c>
      <x:c r="I14" s="19"/>
    </x:row>
    <x:row r="15" ht="39.599998474121094" hidden="0" customHeight="1">
      <x:c r="A15" s="19"/>
      <x:c r="B15" s="21" t="str">
        <x:v>Canada — GST/HST numérique</x:v>
      </x:c>
      <x:c r="C15" s="21" t="str">
        <x:v>Canada Revenue Agency</x:v>
      </x:c>
      <x:c r="D15" s="131" t="str">
        <x:v>https://www.canada.ca/en/revenue-agency/services/tax/businesses/topics/gst-hst-businesses/digital-economy-gsthst/charge-collect/cross-border.html</x:v>
      </x:c>
      <x:c r="E15" s="21" t="str">
        <x:v>Qualifier régime, canal, résidence, province et inscription client</x:v>
      </x:c>
      <x:c r="F15" s="21" t="str">
        <x:v>Aucun taux unique sans province et qualification</x:v>
      </x:c>
      <x:c r="G15" s="21" t="str">
        <x:v>Rouvrir avant toute règle de collecte</x:v>
      </x:c>
      <x:c r="H15" s="133" t="str">
        <x:v>2026-07-28</x:v>
      </x:c>
      <x:c r="I15" s="19"/>
    </x:row>
    <x:row r="16" ht="39.599998474121094" hidden="0" customHeight="1">
      <x:c r="A16" s="19"/>
      <x:c r="B16" s="21" t="str">
        <x:v>Australie — fournitures importées</x:v>
      </x:c>
      <x:c r="C16" s="21" t="str">
        <x:v>Australian Taxation Office</x:v>
      </x:c>
      <x:c r="D16" s="131" t="str">
        <x:v>https://www.ato.gov.au/law/view/document?DocID=GST%2FGSTR20171%2FNAT%2FATO%2F00001</x:v>
      </x:c>
      <x:c r="E16" s="21" t="str">
        <x:v>Qualifier résidence, ABN, inscription GST, usage et EDP</x:v>
      </x:c>
      <x:c r="F16" s="21" t="str">
        <x:v>ABN seul insuffisant ; autres conditions à vérifier</x:v>
      </x:c>
      <x:c r="G16" s="21" t="str">
        <x:v>Rouvrir et faire arbitrer le cas</x:v>
      </x:c>
      <x:c r="H16" s="133" t="str">
        <x:v>2026-07-28</x:v>
      </x:c>
      <x:c r="I16" s="19"/>
    </x:row>
    <x:row r="17" ht="39.599998474121094" hidden="0" customHeight="1">
      <x:c r="A17" s="19"/>
      <x:c r="B17" s="21" t="str">
        <x:v>États-Unis — produits numériques</x:v>
      </x:c>
      <x:c r="C17" s="21" t="str">
        <x:v>Multistate Tax Commission</x:v>
      </x:c>
      <x:c r="D17" s="131" t="str">
        <x:v>https://www.mtc.gov/uniformity/sales-tax-on-digital-products/</x:v>
      </x:c>
      <x:c r="E17" s="21" t="str">
        <x:v>Documenter les divergences et renvoyer aux règles de chaque État</x:v>
      </x:c>
      <x:c r="F17" s="21" t="str">
        <x:v>La MTC ne donne pas un booléen national SaaS</x:v>
      </x:c>
      <x:c r="G17" s="21" t="str">
        <x:v>Vérifier nexus, sourcing et qualification État par État</x:v>
      </x:c>
      <x:c r="H17" s="133" t="str">
        <x:v>2026-07-28</x:v>
      </x:c>
      <x:c r="I17" s="19"/>
    </x:row>
    <x:row r="18" ht="39.599998474121094" hidden="0" customHeight="1">
      <x:c r="A18" s="19"/>
      <x:c r="B18" s="21" t="str">
        <x:v>États-Unis — New York</x:v>
      </x:c>
      <x:c r="C18" s="21" t="str">
        <x:v>Department of Taxation and Finance</x:v>
      </x:c>
      <x:c r="D18" s="131" t="str">
        <x:v>https://www.tax.ny.gov/pubs_and_bulls/tg_bulletins/st/computer_software.htm</x:v>
      </x:c>
      <x:c r="E18" s="21" t="str">
        <x:v>Illustrer la taxation générale de l’accès distant au logiciel préécrit</x:v>
      </x:c>
      <x:c r="F18" s="21" t="str">
        <x:v>Logiciel sur mesure, services séparés et changements de droit à qualifier</x:v>
      </x:c>
      <x:c r="G18" s="21" t="str">
        <x:v>Vérifier produit, utilisateurs, sourcing et version du bulletin</x:v>
      </x:c>
      <x:c r="H18" s="133" t="str">
        <x:v>2026-07-28</x:v>
      </x:c>
      <x:c r="I18" s="19"/>
    </x:row>
    <x:row r="19" ht="39.599998474121094" hidden="0" customHeight="1">
      <x:c r="A19" s="19"/>
      <x:c r="B19" s="21" t="str">
        <x:v>États-Unis — Texas</x:v>
      </x:c>
      <x:c r="C19" s="21" t="str">
        <x:v>Comptroller of Public Accounts</x:v>
      </x:c>
      <x:c r="D19" s="131" t="str">
        <x:v>https://comptroller.texas.gov/taxes/publications/96-259.php</x:v>
      </x:c>
      <x:c r="E19" s="21" t="str">
        <x:v>Illustrer le rattachement du SaaS au data processing et l’exonération de 20 %</x:v>
      </x:c>
      <x:c r="F19" s="21" t="str">
        <x:v>La fonction réellement vendue peut conduire à une autre qualification</x:v>
      </x:c>
      <x:c r="G19" s="21" t="str">
        <x:v>Vérifier offre, exemptions et usage multijuridictionnel</x:v>
      </x:c>
      <x:c r="H19" s="133" t="str">
        <x:v>2026-07-28</x:v>
      </x:c>
      <x:c r="I19" s="19"/>
    </x:row>
    <x:row r="20" ht="52.79999923706055" hidden="0" customHeight="1">
      <x:c r="A20" s="19"/>
      <x:c r="B20" s="22" t="str">
        <x:v>États-Unis — Californie</x:v>
      </x:c>
      <x:c r="C20" s="22" t="str">
        <x:v>California Department of Tax and Fee Administration</x:v>
      </x:c>
      <x:c r="D20" s="132" t="str">
        <x:v>https://cdtfa.ca.gov/taxes-and-fees/manuals/am-04.pdf</x:v>
      </x:c>
      <x:c r="E20" s="22" t="str">
        <x:v>Illustrer le pur accès distant sans copie ni transfert corporel</x:v>
      </x:c>
      <x:c r="F20" s="22" t="str">
        <x:v>Copie, support physique, équipement ou offre composite peuvent changer le traitement</x:v>
      </x:c>
      <x:c r="G20" s="22" t="str">
        <x:v>Rouvrir la section 0421.03 et qualifier tous les composants</x:v>
      </x:c>
      <x:c r="H20" s="134" t="str">
        <x:v>2026-07-28</x:v>
      </x:c>
      <x:c r="I20" s="19"/>
    </x:row>
  </x:sheetData>
  <x:mergeCells>
    <x:mergeCell ref="A1:I2"/>
    <x:mergeCell ref="A3:I3"/>
  </x:mergeCells>
  <x:pageMargins left="0.7" right="0.7" top="0.75" bottom="0.75" header="0.3" footer="0.3"/>
</x:worksheet>
</file>