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8826a37cef74393" /></Relationships>
</file>

<file path=xl/workbook.xml><?xml version="1.0" encoding="utf-8"?>
<x:workbook xmlns:x="http://schemas.openxmlformats.org/spreadsheetml/2006/main">
  <x:sheets>
    <x:sheet xmlns:r="http://schemas.openxmlformats.org/officeDocument/2006/relationships" name="00_MODE_EMPLOI" sheetId="1" r:id="Rc5bf4c8e09454358"/>
    <x:sheet xmlns:r="http://schemas.openxmlformats.org/officeDocument/2006/relationships" name="01_DOSSIER" sheetId="2" r:id="R58c8b1df84a74dc8"/>
    <x:sheet xmlns:r="http://schemas.openxmlformats.org/officeDocument/2006/relationships" name="02_SITUATIONS" sheetId="3" r:id="Rd77a6d7ed40e453d"/>
    <x:sheet xmlns:r="http://schemas.openxmlformats.org/officeDocument/2006/relationships" name="03_BASELINE" sheetId="4" r:id="R7ea150b0f1284330"/>
    <x:sheet xmlns:r="http://schemas.openxmlformats.org/officeDocument/2006/relationships" name="04_REGLES_EXCEPTIONS" sheetId="5" r:id="Racb71a9319f74f6b"/>
    <x:sheet xmlns:r="http://schemas.openxmlformats.org/officeDocument/2006/relationships" name="05_OPTIONS_TESTS" sheetId="6" r:id="R304242289a994ba0"/>
    <x:sheet xmlns:r="http://schemas.openxmlformats.org/officeDocument/2006/relationships" name="06_TCO_12_36_60" sheetId="7" r:id="Rbaa4a26f5c43456b"/>
    <x:sheet xmlns:r="http://schemas.openxmlformats.org/officeDocument/2006/relationships" name="07_RISQUES_STOP" sheetId="8" r:id="R9f65d77fda8c47cc"/>
    <x:sheet xmlns:r="http://schemas.openxmlformats.org/officeDocument/2006/relationships" name="08_PILOTE" sheetId="9" r:id="R9fd4a5dd229e4d48"/>
    <x:sheet xmlns:r="http://schemas.openxmlformats.org/officeDocument/2006/relationships" name="09_DECISION" sheetId="10" r:id="R2adc48c5168546ec"/>
    <x:sheet xmlns:r="http://schemas.openxmlformats.org/officeDocument/2006/relationships" name="10_DICTIONNAIRE" sheetId="11" r:id="R2e3abd841a29400c"/>
    <x:sheet xmlns:r="http://schemas.openxmlformats.org/officeDocument/2006/relationships" name="11_CONTROLES" sheetId="12" r:id="R01663f10df614386"/>
    <x:sheet xmlns:r="http://schemas.openxmlformats.org/officeDocument/2006/relationships" name="12_SOURCES" sheetId="13" r:id="R9b621570544c4f5c"/>
  </x:sheets>
</x:workbook>
</file>

<file path=xl/comments1.xml><?xml version="1.0" encoding="utf-8"?>
<x:comments xmlns:x="http://schemas.openxmlformats.org/spreadsheetml/2006/main">
  <x:authors>
    <x:author>tc={1734F9CA-C54F-F4EB-667D-AD91019B688E}</x:author>
  </x:authors>
  <x:commentList>
    <x:comment ref="C7" authorId="0">
      <x:text>
        <x:r>
          <x:t>[Threaded comment]
Your version of Excel allows you to read this threaded comment; however, any edits to it will get removed if the file is opened in a newer version of Excel. Learn more: https://go.microsoft.com/fwlink/?linkid=870924
Comment:
    Les valeurs livrées sont fictives et ne représentent ni une fréquence, ni un prix, ni une moyenne de marché.</x:t>
        </x:r>
      </x:text>
    </x:comment>
  </x:commentList>
</x:comments>
</file>

<file path=xl/comments2.xml><?xml version="1.0" encoding="utf-8"?>
<x:comments xmlns:x="http://schemas.openxmlformats.org/spreadsheetml/2006/main">
  <x:authors>
    <x:author>tc={49B03CA4-8BF6-9A84-57E2-E3CDAE002A9D}</x:author>
  </x:authors>
  <x:commentList>
    <x:comment ref="I16" authorId="0">
      <x:text>
        <x:r>
          <x:t>[Threaded comment]
Your version of Excel allows you to read this threaded comment; however, any edits to it will get removed if the file is opened in a newer version of Excel. Learn more: https://go.microsoft.com/fwlink/?linkid=870924
Comment:
    L’export final reste bloqué tant que provenance, preuves, TCO, responsables et décision humaine ne sont pas confirmés.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
    <x:numFmt numFmtId="202" formatCode="#,##0.00 &quot;€&quot;"/>
  </x:numFmts>
  <x:fonts count="9">
    <x:font>
      <x:sz val="11"/>
      <x:name val="Carlito"/>
    </x:font>
    <x:font>
      <x:b/>
      <x:sz val="19"/>
      <x:color rgb="FFFFFFFF"/>
      <x:name val="Aptos Display"/>
    </x:font>
    <x:font>
      <x:b/>
      <x:i/>
      <x:sz val="10"/>
      <x:color rgb="FFB45309"/>
      <x:name val="Carlito"/>
    </x:font>
    <x:font>
      <x:b/>
      <x:sz val="9"/>
      <x:color rgb="FFFFFFFF"/>
      <x:name val="Carlito"/>
    </x:font>
    <x:font>
      <x:sz val="9"/>
      <x:color rgb="FF172033"/>
      <x:name val="Carlito"/>
    </x:font>
    <x:font>
      <x:sz val="9"/>
      <x:color rgb="FF1D4ED8"/>
      <x:name val="Carlito"/>
    </x:font>
    <x:font>
      <x:b/>
      <x:sz val="9"/>
      <x:color rgb="FFB45309"/>
      <x:name val="Carlito"/>
    </x:font>
    <x:font>
      <x:b/>
      <x:sz val="9"/>
      <x:color rgb="FF047857"/>
      <x:name val="Carlito"/>
    </x:font>
    <x:font>
      <x:b/>
      <x:sz val="11"/>
      <x:color rgb="FF047857"/>
      <x:name val="Carlito"/>
    </x:font>
  </x:fonts>
  <x:fills count="6">
    <x:fill>
      <x:patternFill patternType="none"/>
    </x:fill>
    <x:fill>
      <x:patternFill patternType="gray125"/>
    </x:fill>
    <x:fill>
      <x:patternFill patternType="solid">
        <x:fgColor rgb="FF172033"/>
      </x:patternFill>
    </x:fill>
    <x:fill>
      <x:patternFill patternType="solid">
        <x:fgColor rgb="FFFEF3C7"/>
      </x:patternFill>
    </x:fill>
    <x:fill>
      <x:patternFill patternType="solid">
        <x:fgColor rgb="FFDBEAFE"/>
      </x:patternFill>
    </x:fill>
    <x:fill>
      <x:patternFill patternType="solid">
        <x:fgColor rgb="FFD1FAE5"/>
      </x:patternFill>
    </x:fill>
  </x:fills>
  <x:borders count="5">
    <x:border/>
    <x:border>
      <x:bottom style="medium">
        <x:color rgb="FF172033"/>
      </x:bottom>
    </x:border>
    <x:border>
      <x:bottom style="thin">
        <x:color rgb="FFCBD5E1"/>
      </x:bottom>
    </x:border>
    <x:border>
      <x:bottom style="thin">
        <x:color rgb="FF93C5FD"/>
      </x:bottom>
    </x:border>
    <x:border>
      <x:bottom style="thin">
        <x:color rgb="FF6EE7B7"/>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left" wrapText="1"/>
    </x:xf>
    <x:xf numFmtId="0" fontId="3" fillId="2" borderId="1" xfId="0" applyNumberFormat="1" applyFont="1" applyFill="1" applyBorder="1" applyAlignment="1">
      <x:alignment horizontal="left" vertical="center" wrapText="1"/>
    </x:xf>
    <x:xf numFmtId="0" fontId="4" fillId="0" borderId="0" xfId="0" applyNumberFormat="1" applyFont="1" applyFill="1" applyBorder="1"/>
    <x:xf numFmtId="0" fontId="4" fillId="0" borderId="2" xfId="0" applyNumberFormat="1" applyFont="1" applyFill="1" applyBorder="1"/>
    <x:xf numFmtId="0" fontId="4" fillId="0" borderId="0"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0" xfId="0" applyNumberFormat="1" applyFont="1" applyFill="1" applyBorder="1" applyAlignment="1">
      <x:alignment horizontal="left" wrapText="1"/>
    </x:xf>
    <x:xf numFmtId="0" fontId="4" fillId="0" borderId="2" xfId="0" applyNumberFormat="1" applyFont="1" applyFill="1" applyBorder="1" applyAlignment="1">
      <x:alignment horizontal="left" wrapText="1"/>
    </x:xf>
    <x:xf numFmtId="0" fontId="4" fillId="0" borderId="0" xfId="0" applyNumberFormat="1" applyFont="1" applyFill="1" applyBorder="1" applyAlignment="1">
      <x:alignment horizontal="left" vertical="top" wrapText="1"/>
    </x:xf>
    <x:xf numFmtId="0" fontId="4" fillId="0" borderId="2" xfId="0" applyNumberFormat="1" applyFont="1" applyFill="1" applyBorder="1" applyAlignment="1">
      <x:alignment horizontal="left" vertical="top" wrapText="1"/>
    </x:xf>
    <x:xf numFmtId="0" fontId="4" fillId="4" borderId="0" xfId="0" applyNumberFormat="1" applyFont="1" applyFill="1" applyBorder="1" applyAlignment="1">
      <x:alignment horizontal="left" vertical="top" wrapText="1"/>
    </x:xf>
    <x:xf numFmtId="0" fontId="5" fillId="4" borderId="0" xfId="0" applyNumberFormat="1" applyFont="1" applyFill="1" applyBorder="1" applyAlignment="1">
      <x:alignment horizontal="left" vertical="top" wrapText="1"/>
    </x:xf>
    <x:xf numFmtId="0" fontId="5" fillId="4" borderId="3" xfId="0" applyNumberFormat="1" applyFont="1" applyFill="1" applyBorder="1" applyAlignment="1">
      <x:alignment horizontal="left" vertical="top" wrapText="1"/>
    </x:xf>
    <x:xf numFmtId="200" fontId="4" fillId="0" borderId="0" xfId="0" applyNumberFormat="1" applyFont="1" applyFill="1" applyBorder="1" applyAlignment="1">
      <x:alignment horizontal="left" vertical="top" wrapText="1"/>
    </x:xf>
    <x:xf numFmtId="0" fontId="5" fillId="3" borderId="0"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6" fillId="3" borderId="0" xfId="0" applyNumberFormat="1" applyFont="1" applyFill="1" applyBorder="1" applyAlignment="1">
      <x:alignment horizontal="left" vertical="top" wrapText="1"/>
    </x:xf>
    <x:xf numFmtId="0" fontId="6" fillId="3" borderId="3" xfId="0" applyNumberFormat="1" applyFont="1" applyFill="1" applyBorder="1" applyAlignment="1">
      <x:alignment horizontal="left" vertical="top" wrapText="1"/>
    </x:xf>
    <x:xf numFmtId="0" fontId="4" fillId="4" borderId="2" xfId="0" applyNumberFormat="1" applyFont="1" applyFill="1" applyBorder="1" applyAlignment="1">
      <x:alignment horizontal="left" vertical="top" wrapText="1"/>
    </x:xf>
    <x:xf numFmtId="0" fontId="5" fillId="4" borderId="2" xfId="0" applyNumberFormat="1" applyFont="1" applyFill="1" applyBorder="1" applyAlignment="1">
      <x:alignment horizontal="left" vertical="top" wrapText="1"/>
    </x:xf>
    <x:xf numFmtId="0" fontId="4" fillId="5" borderId="0" xfId="0" applyNumberFormat="1" applyFont="1" applyFill="1" applyBorder="1" applyAlignment="1">
      <x:alignment horizontal="left" vertical="top" wrapText="1"/>
    </x:xf>
    <x:xf numFmtId="0" fontId="4" fillId="5" borderId="2" xfId="0" applyNumberFormat="1" applyFont="1" applyFill="1" applyBorder="1" applyAlignment="1">
      <x:alignment horizontal="left" vertical="top" wrapText="1"/>
    </x:xf>
    <x:xf numFmtId="0" fontId="7" fillId="5" borderId="0" xfId="0" applyNumberFormat="1" applyFont="1" applyFill="1" applyBorder="1" applyAlignment="1">
      <x:alignment horizontal="left" vertical="top" wrapText="1"/>
    </x:xf>
    <x:xf numFmtId="0" fontId="7" fillId="5" borderId="2" xfId="0" applyNumberFormat="1" applyFont="1" applyFill="1" applyBorder="1" applyAlignment="1">
      <x:alignment horizontal="left" vertical="top" wrapText="1"/>
    </x:xf>
    <x:xf numFmtId="0" fontId="7" fillId="5" borderId="4" xfId="0" applyNumberFormat="1" applyFont="1" applyFill="1" applyBorder="1" applyAlignment="1">
      <x:alignment horizontal="left" vertical="top" wrapText="1"/>
    </x:xf>
    <x:xf numFmtId="200" fontId="5" fillId="4" borderId="0" xfId="0" applyNumberFormat="1" applyFont="1" applyFill="1" applyBorder="1" applyAlignment="1">
      <x:alignment horizontal="left" vertical="top" wrapText="1"/>
    </x:xf>
    <x:xf numFmtId="200" fontId="5" fillId="4" borderId="3" xfId="0" applyNumberFormat="1" applyFont="1" applyFill="1" applyBorder="1" applyAlignment="1">
      <x:alignment horizontal="left" vertical="top" wrapText="1"/>
    </x:xf>
    <x:xf numFmtId="201" fontId="5" fillId="4" borderId="0" xfId="0" applyNumberFormat="1" applyFont="1" applyFill="1" applyBorder="1" applyAlignment="1">
      <x:alignment horizontal="left" vertical="top" wrapText="1"/>
    </x:xf>
    <x:xf numFmtId="201" fontId="5" fillId="4" borderId="3" xfId="0" applyNumberFormat="1" applyFont="1" applyFill="1" applyBorder="1" applyAlignment="1">
      <x:alignment horizontal="left" vertical="top" wrapText="1"/>
    </x:xf>
    <x:xf numFmtId="202" fontId="5" fillId="4" borderId="0" xfId="0" applyNumberFormat="1" applyFont="1" applyFill="1" applyBorder="1" applyAlignment="1">
      <x:alignment horizontal="left" vertical="top" wrapText="1"/>
    </x:xf>
    <x:xf numFmtId="202" fontId="5" fillId="4" borderId="3" xfId="0" applyNumberFormat="1" applyFont="1" applyFill="1" applyBorder="1" applyAlignment="1">
      <x:alignment horizontal="left" vertical="top" wrapText="1"/>
    </x:xf>
    <x:xf numFmtId="202" fontId="7" fillId="5" borderId="0" xfId="0" applyNumberFormat="1" applyFont="1" applyFill="1" applyBorder="1" applyAlignment="1">
      <x:alignment horizontal="left" vertical="top" wrapText="1"/>
    </x:xf>
    <x:xf numFmtId="202" fontId="7" fillId="5" borderId="4" xfId="0" applyNumberFormat="1" applyFont="1" applyFill="1" applyBorder="1" applyAlignment="1">
      <x:alignment horizontal="left" vertical="top" wrapText="1"/>
    </x:xf>
    <x:xf numFmtId="0" fontId="0" fillId="5" borderId="0" xfId="0" applyNumberFormat="1" applyFont="1" applyFill="1" applyBorder="1"/>
    <x:xf numFmtId="0" fontId="8" fillId="5" borderId="0" xfId="0" applyNumberFormat="1" applyFont="1" applyFill="1" applyBorder="1"/>
    <x:xf numFmtId="0" fontId="5" fillId="0" borderId="0" xfId="0" applyNumberFormat="1" applyFont="1" applyFill="1" applyBorder="1" applyAlignment="1">
      <x:alignment horizontal="left" vertical="top" wrapText="1"/>
    </x:xf>
    <x:xf numFmtId="0" fontId="5" fillId="0" borderId="2" xfId="0" applyNumberFormat="1" applyFont="1" applyFill="1" applyBorder="1" applyAlignment="1">
      <x:alignment horizontal="left" vertical="top" wrapText="1"/>
    </x:xf>
  </x:cellXfs>
  <x:cellStyles count="1">
    <x:cellStyle name="Normal" xfId="0"/>
  </x:cellStyles>
  <x:dxfs count="52">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
      <x:font>
        <x:b/>
        <x:color rgb="FFB91C1C"/>
      </x:font>
      <x:fill>
        <x:patternFill patternType="solid">
          <x:bgColor rgb="FFFEE2E2"/>
        </x:patternFill>
      </x:fill>
    </x:dxf>
    <x:dxf>
      <x:font>
        <x:b/>
        <x:color rgb="FFB91C1C"/>
      </x:font>
      <x:fill>
        <x:patternFill patternType="solid">
          <x:bgColor rgb="FFFEE2E2"/>
        </x:patternFill>
      </x:fill>
    </x:dxf>
    <x:dxf>
      <x:font>
        <x:b/>
        <x:color rgb="FFB45309"/>
      </x:font>
      <x:fill>
        <x:patternFill patternType="solid">
          <x:bgColor rgb="FFFEF3C7"/>
        </x:patternFill>
      </x:fill>
    </x:dxf>
    <x:dxf>
      <x:font>
        <x:b/>
        <x:color rgb="FF047857"/>
      </x:font>
      <x:fill>
        <x:patternFill patternType="solid">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68ec006df5496f" /><Relationship Type="http://schemas.openxmlformats.org/officeDocument/2006/relationships/theme" Target="/xl/theme/theme1.xml" Id="R63a0fa4cbe624ba0" /><Relationship Type="http://schemas.openxmlformats.org/officeDocument/2006/relationships/sharedStrings" Target="/xl/sharedStrings.xml" Id="Re6b2c84245f14905" /><Relationship Type="http://schemas.openxmlformats.org/officeDocument/2006/relationships/worksheet" Target="/xl/worksheets/sheet1.xml" Id="Rc5bf4c8e09454358" /><Relationship Type="http://schemas.openxmlformats.org/officeDocument/2006/relationships/worksheet" Target="/xl/worksheets/sheet2.xml" Id="R58c8b1df84a74dc8" /><Relationship Type="http://schemas.openxmlformats.org/officeDocument/2006/relationships/worksheet" Target="/xl/worksheets/sheet3.xml" Id="Rd77a6d7ed40e453d" /><Relationship Type="http://schemas.openxmlformats.org/officeDocument/2006/relationships/worksheet" Target="/xl/worksheets/sheet4.xml" Id="R7ea150b0f1284330" /><Relationship Type="http://schemas.openxmlformats.org/officeDocument/2006/relationships/worksheet" Target="/xl/worksheets/sheet5.xml" Id="Racb71a9319f74f6b" /><Relationship Type="http://schemas.openxmlformats.org/officeDocument/2006/relationships/worksheet" Target="/xl/worksheets/sheet6.xml" Id="R304242289a994ba0" /><Relationship Type="http://schemas.openxmlformats.org/officeDocument/2006/relationships/worksheet" Target="/xl/worksheets/sheet7.xml" Id="Rbaa4a26f5c43456b" /><Relationship Type="http://schemas.openxmlformats.org/officeDocument/2006/relationships/worksheet" Target="/xl/worksheets/sheet8.xml" Id="R9f65d77fda8c47cc" /><Relationship Type="http://schemas.openxmlformats.org/officeDocument/2006/relationships/worksheet" Target="/xl/worksheets/sheet9.xml" Id="R9fd4a5dd229e4d48" /><Relationship Type="http://schemas.openxmlformats.org/officeDocument/2006/relationships/worksheet" Target="/xl/worksheets/sheet10.xml" Id="R2adc48c5168546ec" /><Relationship Type="http://schemas.openxmlformats.org/officeDocument/2006/relationships/worksheet" Target="/xl/worksheets/sheet11.xml" Id="R2e3abd841a29400c" /><Relationship Type="http://schemas.openxmlformats.org/officeDocument/2006/relationships/worksheet" Target="/xl/worksheets/sheet12.xml" Id="R01663f10df614386" /><Relationship Type="http://schemas.openxmlformats.org/officeDocument/2006/relationships/worksheet" Target="/xl/worksheets/sheet13.xml" Id="R9b621570544c4f5c" /><Relationship Type="http://schemas.microsoft.com/office/2017/10/relationships/person" Target="/xl/persons/person.xml" Id="R165934531d9b46a9" /></Relationships>
</file>

<file path=xl/persons/person.xml><?xml version="1.0" encoding="utf-8"?>
<xltc:personList xmlns:xltc="http://schemas.microsoft.com/office/spreadsheetml/2018/threadedcomments">
  <xltc:person displayName="Hagnéré Code" id="{2D17D7BD-E980-4460-AACC-42E27D4E3653}"/>
</xltc:personList>
</file>

<file path=xl/tables/table1.xml><?xml version="1.0" encoding="utf-8"?>
<x:table xmlns:x="http://schemas.openxmlformats.org/spreadsheetml/2006/main" id="1" name="T_ModeEmploi" displayName="T_ModeEmploi" ref="B5:G16" headerRowCount="1" totalsRowCount="0" totalsRowShown="0">
  <x:autoFilter ref="B5:G16"/>
  <x:tableColumns count="6">
    <x:tableColumn id="1" name="Champ"/>
    <x:tableColumn id="2" name="Valeur livrée"/>
    <x:tableColumn id="3" name="Unité"/>
    <x:tableColumn id="4" name="À remplacer"/>
    <x:tableColumn id="5" name="Règle"/>
    <x:tableColumn id="6" name="Statut"/>
  </x:tableColumns>
  <x:tableStyleInfo name="TableStyleMedium2" showFirstColumn="0" showLastColumn="0" showRowStripes="1" showColumnStripes="0"/>
</x:table>
</file>

<file path=xl/tables/table2.xml><?xml version="1.0" encoding="utf-8"?>
<x:table xmlns:x="http://schemas.openxmlformats.org/spreadsheetml/2006/main" id="2" name="T_Dossier" displayName="T_Dossier" ref="B5:G14" headerRowCount="1" totalsRowCount="0" totalsRowShown="0">
  <x:autoFilter ref="B5:G14"/>
  <x:tableColumns count="6">
    <x:tableColumn id="1" name="Champ"/>
    <x:tableColumn id="2" name="Valeur"/>
    <x:tableColumn id="3" name="Preuve / référence"/>
    <x:tableColumn id="4" name="Responsable"/>
    <x:tableColumn id="5" name="Règle"/>
    <x:tableColumn id="6" name="Statut"/>
  </x:tableColumns>
  <x:tableStyleInfo name="TableStyleMedium2" showFirstColumn="0" showLastColumn="0" showRowStripes="1" showColumnStripes="0"/>
</x:table>
</file>

<file path=xl/tables/table3.xml><?xml version="1.0" encoding="utf-8"?>
<x:table xmlns:x="http://schemas.openxmlformats.org/spreadsheetml/2006/main" id="3" name="T_Situations" displayName="T_Situations" ref="B5:T8" headerRowCount="1" totalsRowCount="0" totalsRowShown="0">
  <x:autoFilter ref="B5:T8"/>
  <x:tableColumns count="19">
    <x:tableColumn id="1" name="ID"/>
    <x:tableColumn id="2" name="Situation observée"/>
    <x:tableColumn id="3" name="Date"/>
    <x:tableColumn id="4" name="Référence de preuve"/>
    <x:tableColumn id="5" name="Situation réelle confirmée"/>
    <x:tableColumn id="6" name="Fréquence / mois"/>
    <x:tableColumn id="7" name="Minutes actives"/>
    <x:tableColumn id="8" name="Minutes correction"/>
    <x:tableColumn id="9" name="Minutes attente"/>
    <x:tableColumn id="10" name="Conséquence"/>
    <x:tableColumn id="11" name="Stabilité règle"/>
    <x:tableColumn id="12" name="Outil actuel"/>
    <x:tableColumn id="13" name="Transfert manuel"/>
    <x:tableColumn id="14" name="Test standard"/>
    <x:tableColumn id="15" name="Responsable + secours"/>
    <x:tableColumn id="16" name="Différenciant"/>
    <x:tableColumn id="17" name="Travail + correction / an (h)"/>
    <x:tableColumn id="18" name="Attente / an (h)"/>
    <x:tableColumn id="19" name="Voie à examiner"/>
  </x:tableColumns>
  <x:tableStyleInfo name="TableStyleMedium2" showFirstColumn="0" showLastColumn="0" showRowStripes="1" showColumnStripes="0"/>
</x:table>
</file>

<file path=xl/tables/table4.xml><?xml version="1.0" encoding="utf-8"?>
<x:table xmlns:x="http://schemas.openxmlformats.org/spreadsheetml/2006/main" id="4" name="T_Baseline" displayName="T_Baseline" ref="B5:I8" headerRowCount="1" totalsRowCount="0" totalsRowShown="0">
  <x:autoFilter ref="B5:I8"/>
  <x:tableColumns count="8">
    <x:tableColumn id="1" name="Période"/>
    <x:tableColumn id="2" name="Dénominateur"/>
    <x:tableColumn id="3" name="Événements"/>
    <x:tableColumn id="4" name="Médiane (min)"/>
    <x:tableColumn id="5" name="Maximum (min)"/>
    <x:tableColumn id="6" name="Taux exception"/>
    <x:tableColumn id="7" name="Preuve / limite"/>
    <x:tableColumn id="8" name="Statut"/>
  </x:tableColumns>
  <x:tableStyleInfo name="TableStyleMedium2" showFirstColumn="0" showLastColumn="0" showRowStripes="1" showColumnStripes="0"/>
</x:table>
</file>

<file path=xl/tables/table5.xml><?xml version="1.0" encoding="utf-8"?>
<x:table xmlns:x="http://schemas.openxmlformats.org/spreadsheetml/2006/main" id="5" name="T_Regles" displayName="T_Regles" ref="B5:I11" headerRowCount="1" totalsRowCount="0" totalsRowShown="0">
  <x:autoFilter ref="B5:I11"/>
  <x:tableColumns count="8">
    <x:tableColumn id="1" name="ID"/>
    <x:tableColumn id="2" name="Condition"/>
    <x:tableColumn id="3" name="Résultat attendu"/>
    <x:tableColumn id="4" name="Exception / cas négatif"/>
    <x:tableColumn id="5" name="Arbitre"/>
    <x:tableColumn id="6" name="Version"/>
    <x:tableColumn id="7" name="Contrôle"/>
    <x:tableColumn id="8" name="Statut"/>
  </x:tableColumns>
  <x:tableStyleInfo name="TableStyleMedium2" showFirstColumn="0" showLastColumn="0" showRowStripes="1" showColumnStripes="0"/>
</x:table>
</file>

<file path=xl/tables/table6.xml><?xml version="1.0" encoding="utf-8"?>
<x:table xmlns:x="http://schemas.openxmlformats.org/spreadsheetml/2006/main" id="6" name="T_OptionsTests" displayName="T_OptionsTests" ref="B5:N11" headerRowCount="1" totalsRowCount="0" totalsRowShown="0">
  <x:autoFilter ref="B5:N11"/>
  <x:tableColumns count="13">
    <x:tableColumn id="1" name="ID"/>
    <x:tableColumn id="2" name="Option"/>
    <x:tableColumn id="3" name="Action"/>
    <x:tableColumn id="4" name="Option réelle confirmée"/>
    <x:tableColumn id="5" name="Périmètre identique"/>
    <x:tableColumn id="6" name="Cas courant"/>
    <x:tableColumn id="7" name="Cas difficile"/>
    <x:tableColumn id="8" name="Cas critique"/>
    <x:tableColumn id="9" name="Export"/>
    <x:tableColumn id="10" name="Mode dégradé"/>
    <x:tableColumn id="11" name="Niveau de preuve"/>
    <x:tableColumn id="12" name="Écart précis"/>
    <x:tableColumn id="13" name="Statut"/>
  </x:tableColumns>
  <x:tableStyleInfo name="TableStyleMedium2" showFirstColumn="0" showLastColumn="0" showRowStripes="1" showColumnStripes="0"/>
</x:table>
</file>

<file path=xl/tables/table7.xml><?xml version="1.0" encoding="utf-8"?>
<x:table xmlns:x="http://schemas.openxmlformats.org/spreadsheetml/2006/main" id="7" name="T_TCO" displayName="T_TCO" ref="B5:K11" headerRowCount="1" totalsRowCount="0" totalsRowShown="0">
  <x:autoFilter ref="B5:K11"/>
  <x:tableColumns count="10">
    <x:tableColumn id="1" name="ID"/>
    <x:tableColumn id="2" name="Option"/>
    <x:tableColumn id="3" name="Mise en place (€)"/>
    <x:tableColumn id="4" name="Fonctionnement / mois (€)"/>
    <x:tableColumn id="5" name="Sortie (€)"/>
    <x:tableColumn id="6" name="Même périmètre"/>
    <x:tableColumn id="7" name="Cas critiques rejoués"/>
    <x:tableColumn id="8" name="TCO 12 mois"/>
    <x:tableColumn id="9" name="TCO 36 mois"/>
    <x:tableColumn id="10" name="TCO 60 mois"/>
  </x:tableColumns>
  <x:tableStyleInfo name="TableStyleMedium2" showFirstColumn="0" showLastColumn="0" showRowStripes="1" showColumnStripes="0"/>
</x:table>
</file>

<file path=xl/tables/table8.xml><?xml version="1.0" encoding="utf-8"?>
<x:table xmlns:x="http://schemas.openxmlformats.org/spreadsheetml/2006/main" id="8" name="T_Risques" displayName="T_Risques" ref="B5:G9" headerRowCount="1" totalsRowCount="0" totalsRowShown="0">
  <x:autoFilter ref="B5:G9"/>
  <x:tableColumns count="6">
    <x:tableColumn id="1" name="Porte"/>
    <x:tableColumn id="2" name="Valeur"/>
    <x:tableColumn id="3" name="Preuve attendue"/>
    <x:tableColumn id="4" name="Action si échec"/>
    <x:tableColumn id="5" name="Responsable"/>
    <x:tableColumn id="6" name="Statut"/>
  </x:tableColumns>
  <x:tableStyleInfo name="TableStyleMedium2" showFirstColumn="0" showLastColumn="0" showRowStripes="1" showColumnStripes="0"/>
</x:table>
</file>

<file path=xl/tables/table9.xml><?xml version="1.0" encoding="utf-8"?>
<x:table xmlns:x="http://schemas.openxmlformats.org/spreadsheetml/2006/main" id="9" name="T_Pilote" displayName="T_Pilote" ref="B5:J12" headerRowCount="1" totalsRowCount="0" totalsRowShown="0">
  <x:autoFilter ref="B5:J12"/>
  <x:tableColumns count="9">
    <x:tableColumn id="1" name="Phase"/>
    <x:tableColumn id="2" name="Cas / population"/>
    <x:tableColumn id="3" name="Baseline"/>
    <x:tableColumn id="4" name="Critère STOP"/>
    <x:tableColumn id="5" name="Critère continuer"/>
    <x:tableColumn id="6" name="Rollback"/>
    <x:tableColumn id="7" name="Responsable"/>
    <x:tableColumn id="8" name="Date de revue"/>
    <x:tableColumn id="9" name="Statut"/>
  </x:tableColumns>
  <x:tableStyleInfo name="TableStyleMedium2" showFirstColumn="0" showLastColumn="0" showRowStripes="1" showColumnStripes="0"/>
</x:table>
</file>

<file path=xl/tables/table10.xml><?xml version="1.0" encoding="utf-8"?>
<x:table xmlns:x="http://schemas.openxmlformats.org/spreadsheetml/2006/main" id="10" name="T_Decision" displayName="T_Decision" ref="B5:I13" headerRowCount="1" totalsRowCount="0" totalsRowShown="0">
  <x:autoFilter ref="B5:I13"/>
  <x:tableColumns count="8">
    <x:tableColumn id="1" name="Domaine de preuve"/>
    <x:tableColumn id="2" name="Statut"/>
    <x:tableColumn id="3" name="Référence expurgée"/>
    <x:tableColumn id="4" name="Date de preuve"/>
    <x:tableColumn id="5" name="Preuve attendue"/>
    <x:tableColumn id="6" name="Sources"/>
    <x:tableColumn id="7" name="Responsable"/>
    <x:tableColumn id="8" name="Contrôle"/>
  </x:tableColumns>
  <x:tableStyleInfo name="TableStyleMedium2" showFirstColumn="0" showLastColumn="0" showRowStripes="1" showColumnStripes="0"/>
</x:table>
</file>

<file path=xl/tables/table11.xml><?xml version="1.0" encoding="utf-8"?>
<x:table xmlns:x="http://schemas.openxmlformats.org/spreadsheetml/2006/main" id="11" name="T_Dictionnaire" displayName="T_Dictionnaire" ref="B5:G17" headerRowCount="1" totalsRowCount="0" totalsRowShown="0">
  <x:autoFilter ref="B5:G17"/>
  <x:tableColumns count="6">
    <x:tableColumn id="1" name="Terme"/>
    <x:tableColumn id="2" name="Unité / valeurs"/>
    <x:tableColumn id="3" name="Définition"/>
    <x:tableColumn id="4" name="Ne signifie pas"/>
    <x:tableColumn id="5" name="Propriétaire"/>
    <x:tableColumn id="6" name="Statut"/>
  </x:tableColumns>
  <x:tableStyleInfo name="TableStyleMedium2" showFirstColumn="0" showLastColumn="0" showRowStripes="1" showColumnStripes="0"/>
</x:table>
</file>

<file path=xl/tables/table12.xml><?xml version="1.0" encoding="utf-8"?>
<x:table xmlns:x="http://schemas.openxmlformats.org/spreadsheetml/2006/main" id="12" name="T_Controles" displayName="T_Controles" ref="B5:G29" headerRowCount="1" totalsRowCount="0" totalsRowShown="0">
  <x:autoFilter ref="B5:G29"/>
  <x:tableColumns count="6">
    <x:tableColumn id="1" name="ID"/>
    <x:tableColumn id="2" name="Contrôle"/>
    <x:tableColumn id="3" name="Attendu"/>
    <x:tableColumn id="4" name="Observé"/>
    <x:tableColumn id="5" name="Portée"/>
    <x:tableColumn id="6" name="Statut"/>
  </x:tableColumns>
  <x:tableStyleInfo name="TableStyleMedium2" showFirstColumn="0" showLastColumn="0" showRowStripes="1" showColumnStripes="0"/>
</x:table>
</file>

<file path=xl/tables/table13.xml><?xml version="1.0" encoding="utf-8"?>
<x:table xmlns:x="http://schemas.openxmlformats.org/spreadsheetml/2006/main" id="13" name="T_Sources" displayName="T_Sources" ref="B5:I31" headerRowCount="1" totalsRowCount="0" totalsRowShown="0">
  <x:autoFilter ref="B5:I31"/>
  <x:tableColumns count="8">
    <x:tableColumn id="1" name="ID"/>
    <x:tableColumn id="2" name="Éditeur"/>
    <x:tableColumn id="3" name="Titre"/>
    <x:tableColumn id="4" name="URL"/>
    <x:tableColumn id="5" name="Consulté le"/>
    <x:tableColumn id="6" name="Portée"/>
    <x:tableColumn id="7" name="Limites"/>
    <x:tableColumn id="8" name="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7" dT="2026-07-29T08:55:55.816" personId="{2D17D7BD-E980-4460-AACC-42E27D4E3653}" id="{1734F9CA-C54F-F4EB-667D-AD91019B688E}">
    <xltc:text>Les valeurs livrées sont fictives et ne représentent ni une fréquence, ni un prix, ni une moyenne de marché.</xltc:text>
  </xltc:threadedComment>
</xltc:ThreadedComments>
</file>

<file path=xl/threadedcomments/threadedcomment2.xml><?xml version="1.0" encoding="utf-8"?>
<xltc:ThreadedComments xmlns:xltc="http://schemas.microsoft.com/office/spreadsheetml/2018/threadedcomments">
  <xltc:threadedComment ref="I16" dT="2026-07-29T08:55:55.817" personId="{2D17D7BD-E980-4460-AACC-42E27D4E3653}" id="{49B03CA4-8BF6-9A84-57E2-E3CDAE002A9D}">
    <xltc:text>L’export final reste bloqué tant que provenance, preuves, TCO, responsables et décision humaine ne sont pas confirmés.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81f5385b1ce543ff" /><Relationship Type="http://schemas.openxmlformats.org/officeDocument/2006/relationships/vmlDrawing" Target="/xl/drawings/vmldrawing.vml" Id="Re8bf1d7641a048ed" /><Relationship Type="http://schemas.microsoft.com/office/2017/10/relationships/threadedComment" Target="/xl/threadedcomments/threadedcomment.xml" Id="Rdeb3638005e245d7" /><Relationship Type="http://schemas.openxmlformats.org/officeDocument/2006/relationships/table" Target="/xl/tables/table1.xml" Id="Rd8229c9da237489a" /></Relationships>
</file>

<file path=xl/worksheets/_rels/sheet2.xml.rels>&#65279;<?xml version="1.0" encoding="utf-8"?><Relationships xmlns="http://schemas.openxmlformats.org/package/2006/relationships"><Relationship Type="http://schemas.openxmlformats.org/officeDocument/2006/relationships/table" Target="/xl/tables/table2.xml" Id="Rd1184ed8bc7d4be8" /></Relationships>
</file>

<file path=xl/worksheets/_rels/sheet3.xml.rels>&#65279;<?xml version="1.0" encoding="utf-8"?><Relationships xmlns="http://schemas.openxmlformats.org/package/2006/relationships"><Relationship Type="http://schemas.openxmlformats.org/officeDocument/2006/relationships/table" Target="/xl/tables/table3.xml" Id="Rd3557efe0205434d" /></Relationships>
</file>

<file path=xl/worksheets/_rels/sheet4.xml.rels>&#65279;<?xml version="1.0" encoding="utf-8"?><Relationships xmlns="http://schemas.openxmlformats.org/package/2006/relationships"><Relationship Type="http://schemas.openxmlformats.org/officeDocument/2006/relationships/table" Target="/xl/tables/table4.xml" Id="R39fb69e8fa6d4534" /></Relationships>
</file>

<file path=xl/worksheets/_rels/sheet5.xml.rels>&#65279;<?xml version="1.0" encoding="utf-8"?><Relationships xmlns="http://schemas.openxmlformats.org/package/2006/relationships"><Relationship Type="http://schemas.openxmlformats.org/officeDocument/2006/relationships/table" Target="/xl/tables/table5.xml" Id="Rc2550cfc8d7c486f" /></Relationships>
</file>

<file path=xl/worksheets/_rels/sheet6.xml.rels>&#65279;<?xml version="1.0" encoding="utf-8"?><Relationships xmlns="http://schemas.openxmlformats.org/package/2006/relationships"><Relationship Type="http://schemas.openxmlformats.org/officeDocument/2006/relationships/table" Target="/xl/tables/table6.xml" Id="R26c1f499559f4070" /></Relationships>
</file>

<file path=xl/worksheets/_rels/sheet7.xml.rels>&#65279;<?xml version="1.0" encoding="utf-8"?><Relationships xmlns="http://schemas.openxmlformats.org/package/2006/relationships"><Relationship Type="http://schemas.openxmlformats.org/officeDocument/2006/relationships/table" Target="/xl/tables/table7.xml" Id="Rfef4dcd7fe584d46" /></Relationships>
</file>

<file path=xl/worksheets/_rels/sheet8.xml.rels>&#65279;<?xml version="1.0" encoding="utf-8"?><Relationships xmlns="http://schemas.openxmlformats.org/package/2006/relationships"><Relationship Type="http://schemas.openxmlformats.org/officeDocument/2006/relationships/table" Target="/xl/tables/table8.xml" Id="R2cbb4aa9a9a540ed" /></Relationships>
</file>

<file path=xl/worksheets/_rels/sheet9.xml.rels>&#65279;<?xml version="1.0" encoding="utf-8"?><Relationships xmlns="http://schemas.openxmlformats.org/package/2006/relationships"><Relationship Type="http://schemas.openxmlformats.org/officeDocument/2006/relationships/table" Target="/xl/tables/table9.xml" Id="Re628cb99806d4c2b" /></Relationships>
</file>

<file path=xl/worksheets/_rels/sheet10.xml.rels>&#65279;<?xml version="1.0" encoding="utf-8"?><Relationships xmlns="http://schemas.openxmlformats.org/package/2006/relationships"><Relationship Type="http://schemas.openxmlformats.org/officeDocument/2006/relationships/comments" Target="/xl/comments2.xml" Id="Rf9395485d15345c0" /><Relationship Type="http://schemas.openxmlformats.org/officeDocument/2006/relationships/vmlDrawing" Target="/xl/drawings/vmldrawing2.vml" Id="Rf6b064c53acc4da1" /><Relationship Type="http://schemas.microsoft.com/office/2017/10/relationships/threadedComment" Target="/xl/threadedcomments/threadedcomment2.xml" Id="R10dfac3a65c348b9" /><Relationship Type="http://schemas.openxmlformats.org/officeDocument/2006/relationships/table" Target="/xl/tables/table10.xml" Id="R03c2e42859704e56" /></Relationships>
</file>

<file path=xl/worksheets/_rels/sheet11.xml.rels>&#65279;<?xml version="1.0" encoding="utf-8"?><Relationships xmlns="http://schemas.openxmlformats.org/package/2006/relationships"><Relationship Type="http://schemas.openxmlformats.org/officeDocument/2006/relationships/table" Target="/xl/tables/table11.xml" Id="R57b1c02c36ca4cfd" /></Relationships>
</file>

<file path=xl/worksheets/_rels/sheet12.xml.rels>&#65279;<?xml version="1.0" encoding="utf-8"?><Relationships xmlns="http://schemas.openxmlformats.org/package/2006/relationships"><Relationship Type="http://schemas.openxmlformats.org/officeDocument/2006/relationships/table" Target="/xl/tables/table12.xml" Id="Rba5ad0df610044f8" /></Relationships>
</file>

<file path=xl/worksheets/_rels/sheet13.xml.rels>&#65279;<?xml version="1.0" encoding="utf-8"?><Relationships xmlns="http://schemas.openxmlformats.org/package/2006/relationships"><Relationship Type="http://schemas.openxmlformats.org/officeDocument/2006/relationships/table" Target="/xl/tables/table13.xml" Id="R77d308780f344e9f" /></Relationships>
</file>

<file path=xl/worksheets/sheet1.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25" hidden="0" customWidth="1"/>
    <x:col min="3" max="3" width="26" hidden="0" customWidth="1"/>
    <x:col min="4" max="4" width="18" hidden="0" customWidth="1"/>
    <x:col min="5" max="5" width="28" hidden="0" customWidth="1"/>
    <x:col min="6" max="6" width="18" hidden="0" customWidth="1"/>
    <x:col min="7" max="7" width="30" hidden="0" customWidth="1"/>
    <x:col min="8" max="8" width="3" hidden="0" customWidth="1"/>
  </x:cols>
  <x:sheetData>
    <x:row r="1" ht="28" customHeight="1">
      <x:c r="A1" s="4" t="str">
        <x:v>00 MODE EMPLOI</x:v>
      </x:c>
      <x:c r="B1" s="4"/>
      <x:c r="C1" s="4"/>
      <x:c r="D1" s="4"/>
      <x:c r="E1" s="4"/>
      <x:c r="F1" s="4"/>
      <x:c r="G1" s="4"/>
      <x:c r="H1" s="4"/>
    </x:row>
    <x:row r="2" ht="28" customHeight="1">
      <x:c r="A2" s="4"/>
      <x:c r="B2" s="4"/>
      <x:c r="C2" s="4"/>
      <x:c r="D2" s="4"/>
      <x:c r="E2" s="4"/>
      <x:c r="F2" s="4"/>
      <x:c r="G2" s="4"/>
      <x:c r="H2" s="4"/>
    </x:row>
    <x:row r="3" ht="32" customHeight="1">
      <x:c r="A3" s="8" t="str">
        <x:v>Mode d’emploi, provenance et règles non compensables — EXEMPLE FICTIF — arrêté 2026-07-28</x:v>
      </x:c>
      <x:c r="B3" s="8"/>
      <x:c r="C3" s="8"/>
      <x:c r="D3" s="8"/>
      <x:c r="E3" s="8"/>
      <x:c r="F3" s="8"/>
      <x:c r="G3" s="8"/>
      <x:c r="H3" s="8"/>
    </x:row>
    <x:row r="5" ht="34" customHeight="1">
      <x:c r="B5" s="13" t="str">
        <x:v>Champ</x:v>
      </x:c>
      <x:c r="C5" s="13" t="str">
        <x:v>Valeur livrée</x:v>
      </x:c>
      <x:c r="D5" s="13" t="str">
        <x:v>Unité</x:v>
      </x:c>
      <x:c r="E5" s="13" t="str">
        <x:v>À remplacer</x:v>
      </x:c>
      <x:c r="F5" s="13" t="str">
        <x:v>Règle</x:v>
      </x:c>
      <x:c r="G5" s="13" t="str">
        <x:v>Statut</x:v>
      </x:c>
    </x:row>
    <x:row r="6" ht="52" customHeight="1">
      <x:c r="B6" s="20" t="str">
        <x:v>Version</x:v>
      </x:c>
      <x:c r="C6" s="20" t="str">
        <x:v>business-software-need-kit-r1</x:v>
      </x:c>
      <x:c r="D6" s="20" t="str">
        <x:v>texte</x:v>
      </x:c>
      <x:c r="E6" s="20" t="str">
        <x:v>Non</x:v>
      </x:c>
      <x:c r="F6" s="20" t="str">
        <x:v>Traçabilité</x:v>
      </x:c>
      <x:c r="G6" s="20" t="str">
        <x:v>PASS</x:v>
      </x:c>
    </x:row>
    <x:row r="7" ht="52" customHeight="1">
      <x:c r="B7" s="20" t="str">
        <x:v>Provenance</x:v>
      </x:c>
      <x:c r="C7" s="28" t="str">
        <x:v>EXEMPLE_FICTIF</x:v>
      </x:c>
      <x:c r="D7" s="20" t="str">
        <x:v>texte</x:v>
      </x:c>
      <x:c r="E7" s="20" t="str">
        <x:v>Oui</x:v>
      </x:c>
      <x:c r="F7" s="20" t="str">
        <x:v>DONNEES_REELLES requis</x:v>
      </x:c>
      <x:c r="G7" s="20" t="str">
        <x:v>INCOMPLET</x:v>
      </x:c>
    </x:row>
    <x:row r="8" ht="52" customHeight="1">
      <x:c r="B8" s="20" t="str">
        <x:v>Données réelles confirmées</x:v>
      </x:c>
      <x:c r="C8" s="29" t="str">
        <x:v>NON</x:v>
      </x:c>
      <x:c r="D8" s="20" t="str">
        <x:v>OUI/NON</x:v>
      </x:c>
      <x:c r="E8" s="20" t="str">
        <x:v>Oui</x:v>
      </x:c>
      <x:c r="F8" s="20" t="str">
        <x:v>OUI requis</x:v>
      </x:c>
      <x:c r="G8" s="20" t="str">
        <x:v>INCOMPLET</x:v>
      </x:c>
    </x:row>
    <x:row r="9" ht="52" customHeight="1">
      <x:c r="B9" s="20" t="str">
        <x:v>Décision automatique</x:v>
      </x:c>
      <x:c r="C9" s="20" t="str">
        <x:v>INTERDITE</x:v>
      </x:c>
      <x:c r="D9" s="20" t="str">
        <x:v>texte</x:v>
      </x:c>
      <x:c r="E9" s="20" t="str">
        <x:v>Non</x:v>
      </x:c>
      <x:c r="F9" s="20" t="str">
        <x:v>Arbitrage humain</x:v>
      </x:c>
      <x:c r="G9" s="20" t="str">
        <x:v>PASS</x:v>
      </x:c>
    </x:row>
    <x:row r="10" ht="52" customHeight="1">
      <x:c r="B10" s="20" t="str">
        <x:v>Inconnues</x:v>
      </x:c>
      <x:c r="C10" s="20" t="str">
        <x:v>ND</x:v>
      </x:c>
      <x:c r="D10" s="20" t="str">
        <x:v>texte</x:v>
      </x:c>
      <x:c r="E10" s="20" t="str">
        <x:v>Non</x:v>
      </x:c>
      <x:c r="F10" s="20" t="str">
        <x:v>Jamais remplacées par zéro</x:v>
      </x:c>
      <x:c r="G10" s="20" t="str">
        <x:v>PASS</x:v>
      </x:c>
    </x:row>
    <x:row r="11" ht="52" customHeight="1">
      <x:c r="B11" s="20" t="str">
        <x:v>Secrets</x:v>
      </x:c>
      <x:c r="C11" s="20" t="str">
        <x:v>INTERDITS</x:v>
      </x:c>
      <x:c r="D11" s="20" t="str">
        <x:v>texte</x:v>
      </x:c>
      <x:c r="E11" s="20" t="str">
        <x:v>Non</x:v>
      </x:c>
      <x:c r="F11" s="20" t="str">
        <x:v>Références expurgées seulement</x:v>
      </x:c>
      <x:c r="G11" s="20" t="str">
        <x:v>PASS</x:v>
      </x:c>
    </x:row>
    <x:row r="12" ht="52" customHeight="1">
      <x:c r="B12" s="20" t="str">
        <x:v>Nombre de situations</x:v>
      </x:c>
      <x:c r="C12" s="20" t="n">
        <x:v>3</x:v>
      </x:c>
      <x:c r="D12" s="20" t="str">
        <x:v>événements</x:v>
      </x:c>
      <x:c r="E12" s="20" t="str">
        <x:v>Oui</x:v>
      </x:c>
      <x:c r="F12" s="20" t="str">
        <x:v>IDs uniques et preuves</x:v>
      </x:c>
      <x:c r="G12" s="20" t="str">
        <x:v>PASS</x:v>
      </x:c>
    </x:row>
    <x:row r="13" ht="52" customHeight="1">
      <x:c r="B13" s="20" t="str">
        <x:v>Horizon TCO</x:v>
      </x:c>
      <x:c r="C13" s="20" t="str">
        <x:v>12 / 36 / 60</x:v>
      </x:c>
      <x:c r="D13" s="20" t="str">
        <x:v>mois</x:v>
      </x:c>
      <x:c r="E13" s="20" t="str">
        <x:v>Non</x:v>
      </x:c>
      <x:c r="F13" s="20" t="str">
        <x:v>Même périmètre</x:v>
      </x:c>
      <x:c r="G13" s="20" t="str">
        <x:v>PASS</x:v>
      </x:c>
    </x:row>
    <x:row r="14" ht="52" customHeight="1">
      <x:c r="B14" s="20" t="str">
        <x:v>STOP compensable</x:v>
      </x:c>
      <x:c r="C14" s="20" t="str">
        <x:v>NON</x:v>
      </x:c>
      <x:c r="D14" s="20" t="str">
        <x:v>OUI/NON</x:v>
      </x:c>
      <x:c r="E14" s="20" t="str">
        <x:v>Non</x:v>
      </x:c>
      <x:c r="F14" s="20" t="str">
        <x:v>Aucun gain ne compense</x:v>
      </x:c>
      <x:c r="G14" s="20" t="str">
        <x:v>PASS</x:v>
      </x:c>
    </x:row>
    <x:row r="15" ht="52" customHeight="1">
      <x:c r="B15" s="20" t="str">
        <x:v>Dernière date de source</x:v>
      </x:c>
      <x:c r="C15" s="25" t="n">
        <x:v>46231</x:v>
      </x:c>
      <x:c r="D15" s="20" t="str">
        <x:v>AAAA-MM-JJ</x:v>
      </x:c>
      <x:c r="E15" s="20" t="str">
        <x:v>Oui</x:v>
      </x:c>
      <x:c r="F15" s="20" t="str">
        <x:v>Jamais future</x:v>
      </x:c>
      <x:c r="G15" s="20" t="str">
        <x:v>PASS</x:v>
      </x:c>
    </x:row>
    <x:row r="16" ht="52" customHeight="1">
      <x:c r="B16" s="21" t="str">
        <x:v>Excel réel recalculé</x:v>
      </x:c>
      <x:c r="C16" s="21" t="str">
        <x:v>NON</x:v>
      </x:c>
      <x:c r="D16" s="21" t="str">
        <x:v>OUI/NON</x:v>
      </x:c>
      <x:c r="E16" s="21" t="str">
        <x:v>Oui</x:v>
      </x:c>
      <x:c r="F16" s="21" t="str">
        <x:v>À refaire avant usage final</x:v>
      </x:c>
      <x:c r="G16" s="21" t="str">
        <x:v>INCOMPLET</x:v>
      </x:c>
    </x:row>
  </x:sheetData>
  <x:mergeCells>
    <x:mergeCell ref="A1:H2"/>
    <x:mergeCell ref="A3:H3"/>
  </x:mergeCells>
  <x:conditionalFormatting sqref="G6:G16">
    <x:cfRule type="containsText" dxfId="0" priority="1" operator="containsText" text="STOP"/>
    <x:cfRule type="containsText" dxfId="1" priority="2" operator="containsText" text="BLOQUE"/>
    <x:cfRule type="containsText" dxfId="2" priority="3" operator="containsText" text="INCOMPLET"/>
    <x:cfRule type="containsText" dxfId="3" priority="4" operator="containsText" text="PASS"/>
  </x:conditionalFormatting>
  <x:dataValidations count="2">
    <x:dataValidation type="list" sqref="C7">
      <x:formula1>"EXEMPLE_FICTIF,DONNEES_REELLES"</x:formula1>
    </x:dataValidation>
    <x:dataValidation type="list" sqref="C8">
      <x:formula1>"NON,OUI"</x:formula1>
    </x:dataValidation>
  </x:dataValidations>
  <x:pageMargins left="0.7" right="0.7" top="0.75" bottom="0.75" header="0.3" footer="0.3"/>
  <x:legacyDrawing xmlns:r="http://schemas.openxmlformats.org/officeDocument/2006/relationships" r:id="Re8bf1d7641a048ed"/>
  <x:tableParts count="1">
    <x:tablePart xmlns:r="http://schemas.openxmlformats.org/officeDocument/2006/relationships" r:id="Rd8229c9da237489a"/>
  </x:tableParts>
</x:worksheet>
</file>

<file path=xl/worksheets/sheet2.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29" hidden="0" customWidth="1"/>
    <x:col min="3" max="3" width="30" hidden="0" customWidth="1"/>
    <x:col min="4" max="4" width="22" hidden="0" customWidth="1"/>
    <x:col min="5" max="5" width="30" hidden="0" customWidth="1"/>
    <x:col min="6" max="6" width="18" hidden="0" customWidth="1"/>
    <x:col min="7" max="7" width="20" hidden="0" customWidth="1"/>
    <x:col min="8" max="8" width="3" hidden="0" customWidth="1"/>
  </x:cols>
  <x:sheetData>
    <x:row r="1" ht="28" customHeight="1">
      <x:c r="A1" s="4" t="str">
        <x:v>01 DOSSIER</x:v>
      </x:c>
      <x:c r="B1" s="4"/>
      <x:c r="C1" s="4"/>
      <x:c r="D1" s="4"/>
      <x:c r="E1" s="4"/>
      <x:c r="F1" s="4"/>
      <x:c r="G1" s="4"/>
      <x:c r="H1" s="4"/>
    </x:row>
    <x:row r="2" ht="28" customHeight="1">
      <x:c r="A2" s="4"/>
      <x:c r="B2" s="4"/>
      <x:c r="C2" s="4"/>
      <x:c r="D2" s="4"/>
      <x:c r="E2" s="4"/>
      <x:c r="F2" s="4"/>
      <x:c r="G2" s="4"/>
      <x:c r="H2" s="4"/>
    </x:row>
    <x:row r="3" ht="32" customHeight="1">
      <x:c r="A3" s="8" t="str">
        <x:v>Sponsor, responsable, arrêté et revue humaine — EXEMPLE FICTIF — arrêté 2026-07-28</x:v>
      </x:c>
      <x:c r="B3" s="8"/>
      <x:c r="C3" s="8"/>
      <x:c r="D3" s="8"/>
      <x:c r="E3" s="8"/>
      <x:c r="F3" s="8"/>
      <x:c r="G3" s="8"/>
      <x:c r="H3" s="8"/>
    </x:row>
    <x:row r="5" ht="34" customHeight="1">
      <x:c r="B5" s="13" t="str">
        <x:v>Champ</x:v>
      </x:c>
      <x:c r="C5" s="13" t="str">
        <x:v>Valeur</x:v>
      </x:c>
      <x:c r="D5" s="13" t="str">
        <x:v>Preuve / référence</x:v>
      </x:c>
      <x:c r="E5" s="13" t="str">
        <x:v>Responsable</x:v>
      </x:c>
      <x:c r="F5" s="13" t="str">
        <x:v>Règle</x:v>
      </x:c>
      <x:c r="G5" s="13" t="str">
        <x:v>Statut</x:v>
      </x:c>
    </x:row>
    <x:row r="6" ht="52" customHeight="1">
      <x:c r="B6" s="20" t="str">
        <x:v>Identifiant dossier</x:v>
      </x:c>
      <x:c r="C6" s="23" t="str">
        <x:v>DOSSIER-FICTIF-001</x:v>
      </x:c>
      <x:c r="D6" s="23" t="str">
        <x:v>Référence interne</x:v>
      </x:c>
      <x:c r="E6" s="23" t="str">
        <x:v>Sponsor</x:v>
      </x:c>
      <x:c r="F6" s="20" t="str">
        <x:v>Unique</x:v>
      </x:c>
      <x:c r="G6" s="34" t="str">
        <x:f>IF(AND(LEN(TRIM(C6))&gt;=3,AND(IFERROR(SEARCH("FICTI",C6),0)=0,IFERROR(SEARCH("EXEMPLE",C6),0)=0,IFERROR(SEARCH("FIXTURE",C6),0)=0)),"PASS","INCOMPLET")</x:f>
        <x:v>INCOMPLET</x:v>
      </x:c>
    </x:row>
    <x:row r="7" ht="52" customHeight="1">
      <x:c r="B7" s="20" t="str">
        <x:v>Sponsor</x:v>
      </x:c>
      <x:c r="C7" s="23" t="str">
        <x:v>Direction — exemple</x:v>
      </x:c>
      <x:c r="D7" s="23" t="str">
        <x:v>Mandat à joindre</x:v>
      </x:c>
      <x:c r="E7" s="23" t="str">
        <x:v>Direction</x:v>
      </x:c>
      <x:c r="F7" s="20" t="str">
        <x:v>Obligatoire</x:v>
      </x:c>
      <x:c r="G7" s="34" t="str">
        <x:f>IF(AND(LEN(TRIM(C7))&gt;=3,AND(IFERROR(SEARCH("FICTI",C7),0)=0,IFERROR(SEARCH("EXEMPLE",C7),0)=0,IFERROR(SEARCH("FIXTURE",C7),0)=0)),"PASS","INCOMPLET")</x:f>
        <x:v>INCOMPLET</x:v>
      </x:c>
    </x:row>
    <x:row r="8" ht="52" customHeight="1">
      <x:c r="B8" s="20" t="str">
        <x:v>Responsable métier</x:v>
      </x:c>
      <x:c r="C8" s="23" t="str">
        <x:v>Responsable opérations — exemple</x:v>
      </x:c>
      <x:c r="D8" s="23" t="str">
        <x:v>Rôle et suppléant</x:v>
      </x:c>
      <x:c r="E8" s="23" t="str">
        <x:v>Direction</x:v>
      </x:c>
      <x:c r="F8" s="20" t="str">
        <x:v>Obligatoire</x:v>
      </x:c>
      <x:c r="G8" s="34" t="str">
        <x:f>IF(AND(LEN(TRIM(C8))&gt;=3,AND(IFERROR(SEARCH("FICTI",C8),0)=0,IFERROR(SEARCH("EXEMPLE",C8),0)=0,IFERROR(SEARCH("FIXTURE",C8),0)=0)),"PASS","INCOMPLET")</x:f>
        <x:v>INCOMPLET</x:v>
      </x:c>
    </x:row>
    <x:row r="9" ht="52" customHeight="1">
      <x:c r="B9" s="20" t="str">
        <x:v>Arrêté</x:v>
      </x:c>
      <x:c r="C9" s="37" t="n">
        <x:v>46231</x:v>
      </x:c>
      <x:c r="D9" s="23" t="str">
        <x:v>Registre de baseline</x:v>
      </x:c>
      <x:c r="E9" s="23" t="str">
        <x:v>Responsable métier</x:v>
      </x:c>
      <x:c r="F9" s="20" t="str">
        <x:v>Date non future</x:v>
      </x:c>
      <x:c r="G9" s="34" t="str">
        <x:f>IF(ISNUMBER(C9),IF(AND(INT(C9)=C9,C9&gt;=36526,C9&lt;=TODAY()),"PASS","INCOMPLET"),"INCOMPLET")</x:f>
        <x:v>PASS</x:v>
      </x:c>
    </x:row>
    <x:row r="10" ht="52" customHeight="1">
      <x:c r="B10" s="20" t="str">
        <x:v>Réviseur indépendant</x:v>
      </x:c>
      <x:c r="C10" s="23" t="str"/>
      <x:c r="D10" s="23" t="str">
        <x:v>Compte rendu</x:v>
      </x:c>
      <x:c r="E10" s="23" t="str">
        <x:v>Sponsor</x:v>
      </x:c>
      <x:c r="F10" s="20" t="str">
        <x:v>Obligatoire</x:v>
      </x:c>
      <x:c r="G10" s="34" t="str">
        <x:f>IF(AND(AND(LEN(TRIM(C10))&gt;=3,AND(IFERROR(SEARCH("FICTI",C10),0)=0,IFERROR(SEARCH("EXEMPLE",C10),0)=0,IFERROR(SEARCH("FIXTURE",C10),0)=0)),C10&lt;&gt;C7,C10&lt;&gt;C8),"PASS","INCOMPLET")</x:f>
        <x:v>INCOMPLET</x:v>
      </x:c>
    </x:row>
    <x:row r="11" ht="52" customHeight="1">
      <x:c r="B11" s="20" t="str">
        <x:v>Date de revue</x:v>
      </x:c>
      <x:c r="C11" s="37" t="str"/>
      <x:c r="D11" s="23" t="str">
        <x:v>AAAA-MM-JJ</x:v>
      </x:c>
      <x:c r="E11" s="23" t="str">
        <x:v>Réviseur</x:v>
      </x:c>
      <x:c r="F11" s="20" t="str">
        <x:v>Obligatoire</x:v>
      </x:c>
      <x:c r="G11" s="34" t="str">
        <x:f>IF(ISNUMBER(C11),IF(AND(INT(C11)=C11,C11&gt;=36526,C11&lt;=C9,C11&gt;=MAX(MAX('02_SITUATIONS'!D6:D8),MAX('09_DECISION'!E6:E13))),"PASS","INCOMPLET"),"INCOMPLET")</x:f>
        <x:v>INCOMPLET</x:v>
      </x:c>
    </x:row>
    <x:row r="12" ht="52" customHeight="1">
      <x:c r="B12" s="20" t="str">
        <x:v>Données réelles confirmées</x:v>
      </x:c>
      <x:c r="C12" s="23" t="str">
        <x:v>NON</x:v>
      </x:c>
      <x:c r="D12" s="23" t="str">
        <x:v>OUI/NON</x:v>
      </x:c>
      <x:c r="E12" s="23" t="str">
        <x:v>Responsable métier</x:v>
      </x:c>
      <x:c r="F12" s="20" t="str">
        <x:v>OUI requis</x:v>
      </x:c>
      <x:c r="G12" s="34" t="str">
        <x:f>IF(C12="OUI","PASS","INCOMPLET")</x:f>
        <x:v>INCOMPLET</x:v>
      </x:c>
    </x:row>
    <x:row r="13" ht="52" customHeight="1">
      <x:c r="B13" s="20" t="str">
        <x:v>Décision humaine confirmée</x:v>
      </x:c>
      <x:c r="C13" s="23" t="str">
        <x:v>NON</x:v>
      </x:c>
      <x:c r="D13" s="23" t="str">
        <x:v>OUI/NON</x:v>
      </x:c>
      <x:c r="E13" s="23" t="str">
        <x:v>Sponsor</x:v>
      </x:c>
      <x:c r="F13" s="20" t="str">
        <x:v>OUI requis</x:v>
      </x:c>
      <x:c r="G13" s="34" t="str">
        <x:f>IF(C13="OUI","PASS","INCOMPLET")</x:f>
        <x:v>INCOMPLET</x:v>
      </x:c>
    </x:row>
    <x:row r="14" ht="52" customHeight="1">
      <x:c r="B14" s="21" t="str">
        <x:v>Date d’expiration</x:v>
      </x:c>
      <x:c r="C14" s="38" t="n">
        <x:v>46352</x:v>
      </x:c>
      <x:c r="D14" s="24" t="str">
        <x:v>Prochaine revue</x:v>
      </x:c>
      <x:c r="E14" s="24" t="str">
        <x:v>Sponsor</x:v>
      </x:c>
      <x:c r="F14" s="21" t="str">
        <x:v>Toute décision expire</x:v>
      </x:c>
      <x:c r="G14" s="36" t="str">
        <x:f>IF(AND(ISNUMBER(C14),ISNUMBER(C11),ISNUMBER(C9)),IF(AND(INT(C14)=C14,C14&lt;=2958465,C14&gt;C11,C14&gt;C9,C14&gt;TODAY()),"PASS","INCOMPLET"),"INCOMPLET")</x:f>
        <x:v>INCOMPLET</x:v>
      </x:c>
    </x:row>
  </x:sheetData>
  <x:mergeCells>
    <x:mergeCell ref="A1:H2"/>
    <x:mergeCell ref="A3:H3"/>
  </x:mergeCells>
  <x:conditionalFormatting sqref="G6:G14">
    <x:cfRule type="containsText" dxfId="4" priority="1" operator="containsText" text="STOP"/>
    <x:cfRule type="containsText" dxfId="5" priority="2" operator="containsText" text="BLOQUE"/>
    <x:cfRule type="containsText" dxfId="6" priority="3" operator="containsText" text="INCOMPLET"/>
    <x:cfRule type="containsText" dxfId="7" priority="4" operator="containsText" text="PASS"/>
  </x:conditionalFormatting>
  <x:dataValidations count="1">
    <x:dataValidation type="list" sqref="C12:C13">
      <x:formula1>"NON,OUI"</x:formula1>
    </x:dataValidation>
  </x:dataValidations>
  <x:pageMargins left="0.7" right="0.7" top="0.75" bottom="0.75" header="0.3" footer="0.3"/>
  <x:tableParts count="1">
    <x:tablePart xmlns:r="http://schemas.openxmlformats.org/officeDocument/2006/relationships" r:id="Rd1184ed8bc7d4be8"/>
  </x:tableParts>
</x:worksheet>
</file>

<file path=xl/worksheets/sheet3.xml><?xml version="1.0" encoding="utf-8"?>
<x:worksheet xmlns:x="http://schemas.openxmlformats.org/spreadsheetml/2006/main">
  <x:sheetViews>
    <x:sheetView showGridLines="0" workbookViewId="0">
      <x:pane xSplit="2" ySplit="5" topLeftCell="C6" activePane="bottomRight" state="frozen"/>
      <x:selection pane="bottomRight"/>
    </x:sheetView>
  </x:sheetViews>
  <x:sheetFormatPr defaultRowHeight="15"/>
  <x:cols>
    <x:col min="1" max="1" width="3" hidden="0" customWidth="1"/>
    <x:col min="2" max="2" width="13" hidden="0" customWidth="1"/>
    <x:col min="3" max="3" width="28" hidden="0" customWidth="1"/>
    <x:col min="4" max="4" width="15" hidden="0" customWidth="1"/>
    <x:col min="5" max="5" width="24" hidden="0" customWidth="1"/>
    <x:col min="6" max="6" width="18" hidden="0" customWidth="1"/>
    <x:col min="7" max="7" width="13" hidden="0" customWidth="1"/>
    <x:col min="8" max="8" width="13" hidden="0" customWidth="1"/>
    <x:col min="9" max="9" width="13" hidden="0" customWidth="1"/>
    <x:col min="10" max="10" width="13" hidden="0" customWidth="1"/>
    <x:col min="11" max="11" width="16" hidden="0" customWidth="1"/>
    <x:col min="12" max="12" width="16" hidden="0" customWidth="1"/>
    <x:col min="13" max="13" width="25" hidden="0" customWidth="1"/>
    <x:col min="14" max="14" width="16" hidden="0" customWidth="1"/>
    <x:col min="15" max="15" width="24" hidden="0" customWidth="1"/>
    <x:col min="16" max="16" width="16" hidden="0" customWidth="1"/>
    <x:col min="17" max="17" width="16" hidden="0" customWidth="1"/>
    <x:col min="18" max="18" width="18" hidden="0" customWidth="1"/>
    <x:col min="19" max="19" width="18" hidden="0" customWidth="1"/>
    <x:col min="20" max="20" width="27" hidden="0" customWidth="1"/>
  </x:cols>
  <x:sheetData>
    <x:row r="1" ht="28" customHeight="1">
      <x:c r="A1" s="4" t="str">
        <x:v>02 SITUATIONS</x:v>
      </x:c>
      <x:c r="B1" s="4"/>
      <x:c r="C1" s="4"/>
      <x:c r="D1" s="4"/>
      <x:c r="E1" s="4"/>
      <x:c r="F1" s="4"/>
      <x:c r="G1" s="4"/>
      <x:c r="H1" s="4"/>
      <x:c r="I1" s="4"/>
      <x:c r="J1" s="4"/>
      <x:c r="K1" s="4"/>
      <x:c r="L1" s="4"/>
      <x:c r="M1" s="4"/>
      <x:c r="N1" s="4"/>
      <x:c r="O1" s="4"/>
      <x:c r="P1" s="4"/>
      <x:c r="Q1" s="4"/>
      <x:c r="R1" s="4"/>
      <x:c r="S1" s="4"/>
      <x:c r="T1" s="4"/>
    </x:row>
    <x:row r="2" ht="28" customHeight="1">
      <x:c r="A2" s="4"/>
      <x:c r="B2" s="4"/>
      <x:c r="C2" s="4"/>
      <x:c r="D2" s="4"/>
      <x:c r="E2" s="4"/>
      <x:c r="F2" s="4"/>
      <x:c r="G2" s="4"/>
      <x:c r="H2" s="4"/>
      <x:c r="I2" s="4"/>
      <x:c r="J2" s="4"/>
      <x:c r="K2" s="4"/>
      <x:c r="L2" s="4"/>
      <x:c r="M2" s="4"/>
      <x:c r="N2" s="4"/>
      <x:c r="O2" s="4"/>
      <x:c r="P2" s="4"/>
      <x:c r="Q2" s="4"/>
      <x:c r="R2" s="4"/>
      <x:c r="S2" s="4"/>
      <x:c r="T2" s="4"/>
    </x:row>
    <x:row r="3" ht="32" customHeight="1">
      <x:c r="A3" s="8" t="str">
        <x:v>Trois événements datés, temps séparés et voie à examiner — EXEMPLE FICTIF — arrêté 2026-07-28</x:v>
      </x:c>
      <x:c r="B3" s="8"/>
      <x:c r="C3" s="8"/>
      <x:c r="D3" s="8"/>
      <x:c r="E3" s="8"/>
      <x:c r="F3" s="8"/>
      <x:c r="G3" s="8"/>
      <x:c r="H3" s="8"/>
      <x:c r="I3" s="8"/>
      <x:c r="J3" s="8"/>
      <x:c r="K3" s="8"/>
      <x:c r="L3" s="8"/>
      <x:c r="M3" s="8"/>
      <x:c r="N3" s="8"/>
      <x:c r="O3" s="8"/>
      <x:c r="P3" s="8"/>
      <x:c r="Q3" s="8"/>
      <x:c r="R3" s="8"/>
      <x:c r="S3" s="8"/>
      <x:c r="T3" s="8"/>
    </x:row>
    <x:row r="5" ht="34" customHeight="1">
      <x:c r="B5" s="13" t="str">
        <x:v>ID</x:v>
      </x:c>
      <x:c r="C5" s="13" t="str">
        <x:v>Situation observée</x:v>
      </x:c>
      <x:c r="D5" s="13" t="str">
        <x:v>Date</x:v>
      </x:c>
      <x:c r="E5" s="13" t="str">
        <x:v>Référence de preuve</x:v>
      </x:c>
      <x:c r="F5" s="13" t="str">
        <x:v>Situation réelle confirmée</x:v>
      </x:c>
      <x:c r="G5" s="13" t="str">
        <x:v>Fréquence / mois</x:v>
      </x:c>
      <x:c r="H5" s="13" t="str">
        <x:v>Minutes actives</x:v>
      </x:c>
      <x:c r="I5" s="13" t="str">
        <x:v>Minutes correction</x:v>
      </x:c>
      <x:c r="J5" s="13" t="str">
        <x:v>Minutes attente</x:v>
      </x:c>
      <x:c r="K5" s="13" t="str">
        <x:v>Conséquence</x:v>
      </x:c>
      <x:c r="L5" s="13" t="str">
        <x:v>Stabilité règle</x:v>
      </x:c>
      <x:c r="M5" s="13" t="str">
        <x:v>Outil actuel</x:v>
      </x:c>
      <x:c r="N5" s="13" t="str">
        <x:v>Transfert manuel</x:v>
      </x:c>
      <x:c r="O5" s="13" t="str">
        <x:v>Test standard</x:v>
      </x:c>
      <x:c r="P5" s="13" t="str">
        <x:v>Responsable + secours</x:v>
      </x:c>
      <x:c r="Q5" s="13" t="str">
        <x:v>Différenciant</x:v>
      </x:c>
      <x:c r="R5" s="13" t="str">
        <x:v>Travail + correction / an (h)</x:v>
      </x:c>
      <x:c r="S5" s="13" t="str">
        <x:v>Attente / an (h)</x:v>
      </x:c>
      <x:c r="T5" s="13" t="str">
        <x:v>Voie à examiner</x:v>
      </x:c>
    </x:row>
    <x:row r="6" ht="88" customHeight="1">
      <x:c r="B6" s="23" t="str">
        <x:v>SIT-01</x:v>
      </x:c>
      <x:c r="C6" s="23" t="str">
        <x:v>Commande bloquée par une règle de remise</x:v>
      </x:c>
      <x:c r="D6" s="37" t="n">
        <x:v>46210</x:v>
      </x:c>
      <x:c r="E6" s="23" t="str">
        <x:v>EXEMPLE-FICTIF-TICKET-01</x:v>
      </x:c>
      <x:c r="F6" s="23" t="str">
        <x:v>NON</x:v>
      </x:c>
      <x:c r="G6" s="23" t="n">
        <x:v>18</x:v>
      </x:c>
      <x:c r="H6" s="23" t="n">
        <x:v>12</x:v>
      </x:c>
      <x:c r="I6" s="23" t="n">
        <x:v>8</x:v>
      </x:c>
      <x:c r="J6" s="23" t="n">
        <x:v>90</x:v>
      </x:c>
      <x:c r="K6" s="23" t="str">
        <x:v>SIGNIFICATIVE</x:v>
      </x:c>
      <x:c r="L6" s="23" t="str">
        <x:v>STABLE</x:v>
      </x:c>
      <x:c r="M6" s="23" t="str">
        <x:v>FONCTIONNE_APRES_CORRECTION</x:v>
      </x:c>
      <x:c r="N6" s="23" t="str">
        <x:v>NON</x:v>
      </x:c>
      <x:c r="O6" s="23" t="str">
        <x:v>COUVRE</x:v>
      </x:c>
      <x:c r="P6" s="23" t="str">
        <x:v>OUI</x:v>
      </x:c>
      <x:c r="Q6" s="23" t="str">
        <x:v>NON</x:v>
      </x:c>
      <x:c r="R6" s="34" t="n">
        <x:f>IF(COUNT(G6:J6)=4,IF(AND(G6&gt;=0,H6&gt;=0,I6&gt;=0,J6&gt;=0,G6&lt;=1000000,H6&lt;=1000000,I6&lt;=1000000,J6&lt;=1000000,ROUND(G6,4)=G6,ROUND(H6,4)=H6,ROUND(I6,4)=I6,ROUND(J6,4)=J6),ROUND(G6*12*(H6+I6)/60,2),"ND"),"ND")</x:f>
        <x:v>72</x:v>
      </x:c>
      <x:c r="S6" s="34" t="n">
        <x:f>IF(COUNT(G6:J6)=4,IF(AND(G6&gt;=0,H6&gt;=0,I6&gt;=0,J6&gt;=0,G6&lt;=1000000,H6&lt;=1000000,I6&lt;=1000000,J6&lt;=1000000,ROUND(G6,4)=G6,ROUND(H6,4)=H6,ROUND(I6,4)=I6,ROUND(J6,4)=J6),ROUND(G6*12*J6/60,2),"ND"),"ND")</x:f>
        <x:v>324</x:v>
      </x:c>
      <x:c r="T6" s="34" t="str">
        <x:f>IF(AND(COUNT(D6)=1,COUNT(G6:J6)=4),IF(OR(NOT(AND(LEN(TRIM(B6))&gt;=3,AND(IFERROR(SEARCH("FICTI",B6),0)=0,IFERROR(SEARCH("EXEMPLE",B6),0)=0,IFERROR(SEARCH("FIXTURE",B6),0)=0))),NOT(AND(LEN(TRIM(C6))&gt;=10,AND(IFERROR(SEARCH("FICTI",C6),0)=0,IFERROR(SEARCH("EXEMPLE",C6),0)=0,IFERROR(SEARCH("FIXTURE",C6),0)=0))),D6&lt;36526,INT(D6)&lt;&gt;D6,D6&gt;'01_DOSSIER'!C9,NOT(AND(LEN(TRIM(E6))&gt;=6,AND(IFERROR(SEARCH("FICTI",E6),0)=0,IFERROR(SEARCH("EXEMPLE",E6),0)=0,IFERROR(SEARCH("FIXTURE",E6),0)=0))),F6&lt;&gt;"OUI",R6="ND",S6="ND",NOT(OR(K6="FAIBLE",K6="SIGNIFICATIVE",K6="CRITIQUE")),NOT(OR(L6="CHANGEANTE",L6="ASSEZ_STABLE",L6="STABLE")),NOT(OR(M6="NON_TESTE",M6="FONCTIONNE_APRES_CORRECTION",M6="DEFAILLANT",M6="ECART_CONFIRME")),NOT(OR(N6="OUI",N6="NON")),NOT(OR(O6="NON_EXAMINE",O6="COUVRE",O6="COUVRE_PARTIELLEMENT",O6="ECHEC_CAS_CRITIQUE")),NOT(OR(P6="OUI",P6="NON")),NOT(OR(Q6="OUI",Q6="NON")),AND(NOT(OR(L6="CHANGEANTE",AND(K6="FAIBLE",R6&lt;1))),OR(M6="NON_TESTE",O6="NON_EXAMINE")),COUNTIF($B$6:$B$8,B6)&lt;&gt;1,COUNTIF($C$6:$C$8,C6)&lt;&gt;1,COUNTIF($E$6:$E$8,E6)&lt;&gt;1),"INCOMPLET",IF(OR(L6="CHANGEANTE",AND(K6="FAIBLE",R6&lt;1)),"OBSERVER",IF(M6="FONCTIONNE_APRES_CORRECTION","CORRIGER_STANDARDISER",IF(N6="OUI","INTEGRER_AUTOMATISER",IF(OR(O6="COUVRE",O6="COUVRE_PARTIELLEMENT"),"ACHETER_CONFIGURER",IF(AND(O6="ECHEC_CAS_CRITIQUE",OR(L6="STABLE",L6="ASSEZ_STABLE"),OR(K6="SIGNIFICATIVE",K6="CRITIQUE"),P6="OUI",Q6="OUI"),"ETUDIER_SUR_MESURE","OBSERVER")))))),"INCOMPLET")</x:f>
        <x:v>INCOMPLET</x:v>
      </x:c>
    </x:row>
    <x:row r="7" ht="88" customHeight="1">
      <x:c r="B7" s="23" t="str">
        <x:v>SIT-02</x:v>
      </x:c>
      <x:c r="C7" s="23" t="str">
        <x:v>Adresse et date recopiées entre CRM et planning</x:v>
      </x:c>
      <x:c r="D7" s="37" t="n">
        <x:v>46213</x:v>
      </x:c>
      <x:c r="E7" s="23" t="str">
        <x:v>EXEMPLE-FICTIF-JOURNAL-02</x:v>
      </x:c>
      <x:c r="F7" s="23" t="str">
        <x:v>NON</x:v>
      </x:c>
      <x:c r="G7" s="23" t="n">
        <x:v>65</x:v>
      </x:c>
      <x:c r="H7" s="23" t="n">
        <x:v>5</x:v>
      </x:c>
      <x:c r="I7" s="23" t="n">
        <x:v>2</x:v>
      </x:c>
      <x:c r="J7" s="23" t="n">
        <x:v>15</x:v>
      </x:c>
      <x:c r="K7" s="23" t="str">
        <x:v>SIGNIFICATIVE</x:v>
      </x:c>
      <x:c r="L7" s="23" t="str">
        <x:v>STABLE</x:v>
      </x:c>
      <x:c r="M7" s="23" t="str">
        <x:v>ECART_CONFIRME</x:v>
      </x:c>
      <x:c r="N7" s="23" t="str">
        <x:v>OUI</x:v>
      </x:c>
      <x:c r="O7" s="23" t="str">
        <x:v>COUVRE_PARTIELLEMENT</x:v>
      </x:c>
      <x:c r="P7" s="23" t="str">
        <x:v>OUI</x:v>
      </x:c>
      <x:c r="Q7" s="23" t="str">
        <x:v>NON</x:v>
      </x:c>
      <x:c r="R7" s="34" t="n">
        <x:f>IF(COUNT(G7:J7)=4,IF(AND(G7&gt;=0,H7&gt;=0,I7&gt;=0,J7&gt;=0,G7&lt;=1000000,H7&lt;=1000000,I7&lt;=1000000,J7&lt;=1000000,ROUND(G7,4)=G7,ROUND(H7,4)=H7,ROUND(I7,4)=I7,ROUND(J7,4)=J7),ROUND(G7*12*(H7+I7)/60,2),"ND"),"ND")</x:f>
        <x:v>91</x:v>
      </x:c>
      <x:c r="S7" s="34" t="n">
        <x:f>IF(COUNT(G7:J7)=4,IF(AND(G7&gt;=0,H7&gt;=0,I7&gt;=0,J7&gt;=0,G7&lt;=1000000,H7&lt;=1000000,I7&lt;=1000000,J7&lt;=1000000,ROUND(G7,4)=G7,ROUND(H7,4)=H7,ROUND(I7,4)=I7,ROUND(J7,4)=J7),ROUND(G7*12*J7/60,2),"ND"),"ND")</x:f>
        <x:v>195</x:v>
      </x:c>
      <x:c r="T7" s="34" t="str">
        <x:f>IF(AND(COUNT(D7)=1,COUNT(G7:J7)=4),IF(OR(NOT(AND(LEN(TRIM(B7))&gt;=3,AND(IFERROR(SEARCH("FICTI",B7),0)=0,IFERROR(SEARCH("EXEMPLE",B7),0)=0,IFERROR(SEARCH("FIXTURE",B7),0)=0))),NOT(AND(LEN(TRIM(C7))&gt;=10,AND(IFERROR(SEARCH("FICTI",C7),0)=0,IFERROR(SEARCH("EXEMPLE",C7),0)=0,IFERROR(SEARCH("FIXTURE",C7),0)=0))),D7&lt;36526,INT(D7)&lt;&gt;D7,D7&gt;'01_DOSSIER'!C9,NOT(AND(LEN(TRIM(E7))&gt;=6,AND(IFERROR(SEARCH("FICTI",E7),0)=0,IFERROR(SEARCH("EXEMPLE",E7),0)=0,IFERROR(SEARCH("FIXTURE",E7),0)=0))),F7&lt;&gt;"OUI",R7="ND",S7="ND",NOT(OR(K7="FAIBLE",K7="SIGNIFICATIVE",K7="CRITIQUE")),NOT(OR(L7="CHANGEANTE",L7="ASSEZ_STABLE",L7="STABLE")),NOT(OR(M7="NON_TESTE",M7="FONCTIONNE_APRES_CORRECTION",M7="DEFAILLANT",M7="ECART_CONFIRME")),NOT(OR(N7="OUI",N7="NON")),NOT(OR(O7="NON_EXAMINE",O7="COUVRE",O7="COUVRE_PARTIELLEMENT",O7="ECHEC_CAS_CRITIQUE")),NOT(OR(P7="OUI",P7="NON")),NOT(OR(Q7="OUI",Q7="NON")),AND(NOT(OR(L7="CHANGEANTE",AND(K7="FAIBLE",R7&lt;1))),OR(M7="NON_TESTE",O7="NON_EXAMINE")),COUNTIF($B$6:$B$8,B7)&lt;&gt;1,COUNTIF($C$6:$C$8,C7)&lt;&gt;1,COUNTIF($E$6:$E$8,E7)&lt;&gt;1),"INCOMPLET",IF(OR(L7="CHANGEANTE",AND(K7="FAIBLE",R7&lt;1)),"OBSERVER",IF(M7="FONCTIONNE_APRES_CORRECTION","CORRIGER_STANDARDISER",IF(N7="OUI","INTEGRER_AUTOMATISER",IF(OR(O7="COUVRE",O7="COUVRE_PARTIELLEMENT"),"ACHETER_CONFIGURER",IF(AND(O7="ECHEC_CAS_CRITIQUE",OR(L7="STABLE",L7="ASSEZ_STABLE"),OR(K7="SIGNIFICATIVE",K7="CRITIQUE"),P7="OUI",Q7="OUI"),"ETUDIER_SUR_MESURE","OBSERVER")))))),"INCOMPLET")</x:f>
        <x:v>INCOMPLET</x:v>
      </x:c>
    </x:row>
    <x:row r="8" ht="88" customHeight="1">
      <x:c r="B8" s="24" t="str">
        <x:v>SIT-03</x:v>
      </x:c>
      <x:c r="C8" s="24" t="str">
        <x:v>Ordonnancement spécifique non couvert au test</x:v>
      </x:c>
      <x:c r="D8" s="38" t="n">
        <x:v>46217</x:v>
      </x:c>
      <x:c r="E8" s="24" t="str">
        <x:v>EXEMPLE-FICTIF-REJEU-03</x:v>
      </x:c>
      <x:c r="F8" s="24" t="str">
        <x:v>NON</x:v>
      </x:c>
      <x:c r="G8" s="24" t="n">
        <x:v>9</x:v>
      </x:c>
      <x:c r="H8" s="24" t="n">
        <x:v>35</x:v>
      </x:c>
      <x:c r="I8" s="24" t="n">
        <x:v>20</x:v>
      </x:c>
      <x:c r="J8" s="24" t="n">
        <x:v>240</x:v>
      </x:c>
      <x:c r="K8" s="24" t="str">
        <x:v>CRITIQUE</x:v>
      </x:c>
      <x:c r="L8" s="24" t="str">
        <x:v>STABLE</x:v>
      </x:c>
      <x:c r="M8" s="24" t="str">
        <x:v>ECART_CONFIRME</x:v>
      </x:c>
      <x:c r="N8" s="24" t="str">
        <x:v>NON</x:v>
      </x:c>
      <x:c r="O8" s="24" t="str">
        <x:v>ECHEC_CAS_CRITIQUE</x:v>
      </x:c>
      <x:c r="P8" s="24" t="str">
        <x:v>OUI</x:v>
      </x:c>
      <x:c r="Q8" s="24" t="str">
        <x:v>OUI</x:v>
      </x:c>
      <x:c r="R8" s="36" t="n">
        <x:f>IF(COUNT(G8:J8)=4,IF(AND(G8&gt;=0,H8&gt;=0,I8&gt;=0,J8&gt;=0,G8&lt;=1000000,H8&lt;=1000000,I8&lt;=1000000,J8&lt;=1000000,ROUND(G8,4)=G8,ROUND(H8,4)=H8,ROUND(I8,4)=I8,ROUND(J8,4)=J8),ROUND(G8*12*(H8+I8)/60,2),"ND"),"ND")</x:f>
        <x:v>99</x:v>
      </x:c>
      <x:c r="S8" s="36" t="n">
        <x:f>IF(COUNT(G8:J8)=4,IF(AND(G8&gt;=0,H8&gt;=0,I8&gt;=0,J8&gt;=0,G8&lt;=1000000,H8&lt;=1000000,I8&lt;=1000000,J8&lt;=1000000,ROUND(G8,4)=G8,ROUND(H8,4)=H8,ROUND(I8,4)=I8,ROUND(J8,4)=J8),ROUND(G8*12*J8/60,2),"ND"),"ND")</x:f>
        <x:v>432</x:v>
      </x:c>
      <x:c r="T8" s="36" t="str">
        <x:f>IF(AND(COUNT(D8)=1,COUNT(G8:J8)=4),IF(OR(NOT(AND(LEN(TRIM(B8))&gt;=3,AND(IFERROR(SEARCH("FICTI",B8),0)=0,IFERROR(SEARCH("EXEMPLE",B8),0)=0,IFERROR(SEARCH("FIXTURE",B8),0)=0))),NOT(AND(LEN(TRIM(C8))&gt;=10,AND(IFERROR(SEARCH("FICTI",C8),0)=0,IFERROR(SEARCH("EXEMPLE",C8),0)=0,IFERROR(SEARCH("FIXTURE",C8),0)=0))),D8&lt;36526,INT(D8)&lt;&gt;D8,D8&gt;'01_DOSSIER'!C9,NOT(AND(LEN(TRIM(E8))&gt;=6,AND(IFERROR(SEARCH("FICTI",E8),0)=0,IFERROR(SEARCH("EXEMPLE",E8),0)=0,IFERROR(SEARCH("FIXTURE",E8),0)=0))),F8&lt;&gt;"OUI",R8="ND",S8="ND",NOT(OR(K8="FAIBLE",K8="SIGNIFICATIVE",K8="CRITIQUE")),NOT(OR(L8="CHANGEANTE",L8="ASSEZ_STABLE",L8="STABLE")),NOT(OR(M8="NON_TESTE",M8="FONCTIONNE_APRES_CORRECTION",M8="DEFAILLANT",M8="ECART_CONFIRME")),NOT(OR(N8="OUI",N8="NON")),NOT(OR(O8="NON_EXAMINE",O8="COUVRE",O8="COUVRE_PARTIELLEMENT",O8="ECHEC_CAS_CRITIQUE")),NOT(OR(P8="OUI",P8="NON")),NOT(OR(Q8="OUI",Q8="NON")),AND(NOT(OR(L8="CHANGEANTE",AND(K8="FAIBLE",R8&lt;1))),OR(M8="NON_TESTE",O8="NON_EXAMINE")),COUNTIF($B$6:$B$8,B8)&lt;&gt;1,COUNTIF($C$6:$C$8,C8)&lt;&gt;1,COUNTIF($E$6:$E$8,E8)&lt;&gt;1),"INCOMPLET",IF(OR(L8="CHANGEANTE",AND(K8="FAIBLE",R8&lt;1)),"OBSERVER",IF(M8="FONCTIONNE_APRES_CORRECTION","CORRIGER_STANDARDISER",IF(N8="OUI","INTEGRER_AUTOMATISER",IF(OR(O8="COUVRE",O8="COUVRE_PARTIELLEMENT"),"ACHETER_CONFIGURER",IF(AND(O8="ECHEC_CAS_CRITIQUE",OR(L8="STABLE",L8="ASSEZ_STABLE"),OR(K8="SIGNIFICATIVE",K8="CRITIQUE"),P8="OUI",Q8="OUI"),"ETUDIER_SUR_MESURE","OBSERVER")))))),"INCOMPLET")</x:f>
        <x:v>INCOMPLET</x:v>
      </x:c>
    </x:row>
  </x:sheetData>
  <x:mergeCells>
    <x:mergeCell ref="A1:T2"/>
    <x:mergeCell ref="A3:T3"/>
  </x:mergeCells>
  <x:conditionalFormatting sqref="T6:T8">
    <x:cfRule type="containsText" dxfId="8" priority="1" operator="containsText" text="STOP"/>
    <x:cfRule type="containsText" dxfId="9" priority="2" operator="containsText" text="BLOQUE"/>
    <x:cfRule type="containsText" dxfId="10" priority="3" operator="containsText" text="INCOMPLET"/>
    <x:cfRule type="containsText" dxfId="11" priority="4" operator="containsText" text="PASS"/>
  </x:conditionalFormatting>
  <x:dataValidations count="7">
    <x:dataValidation type="list" sqref="F6:F8">
      <x:formula1>"NON,OUI"</x:formula1>
    </x:dataValidation>
    <x:dataValidation type="list" sqref="K6:K8">
      <x:formula1>"ND,FAIBLE,SIGNIFICATIVE,CRITIQUE"</x:formula1>
    </x:dataValidation>
    <x:dataValidation type="list" sqref="L6:L8">
      <x:formula1>"ND,CHANGEANTE,ASSEZ_STABLE,STABLE"</x:formula1>
    </x:dataValidation>
    <x:dataValidation type="list" sqref="M6:M8">
      <x:formula1>"ND,NON_TESTE,FONCTIONNE_APRES_CORRECTION,DEFAILLANT,ECART_CONFIRME"</x:formula1>
    </x:dataValidation>
    <x:dataValidation type="list" sqref="N6:N8">
      <x:formula1>"ND,OUI,NON"</x:formula1>
    </x:dataValidation>
    <x:dataValidation type="list" sqref="O6:O8">
      <x:formula1>"ND,NON_EXAMINE,COUVRE,COUVRE_PARTIELLEMENT,ECHEC_CAS_CRITIQUE"</x:formula1>
    </x:dataValidation>
    <x:dataValidation type="list" sqref="P6:Q8">
      <x:formula1>"ND,OUI,NON"</x:formula1>
    </x:dataValidation>
  </x:dataValidations>
  <x:pageMargins left="0.7" right="0.7" top="0.75" bottom="0.75" header="0.3" footer="0.3"/>
  <x:tableParts count="1">
    <x:tablePart xmlns:r="http://schemas.openxmlformats.org/officeDocument/2006/relationships" r:id="Rd3557efe0205434d"/>
  </x:tableParts>
</x:worksheet>
</file>

<file path=xl/worksheets/sheet4.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18" hidden="0" customWidth="1"/>
    <x:col min="3" max="3" width="16" hidden="0" customWidth="1"/>
    <x:col min="4" max="4" width="16" hidden="0" customWidth="1"/>
    <x:col min="5" max="5" width="16" hidden="0" customWidth="1"/>
    <x:col min="6" max="6" width="16" hidden="0" customWidth="1"/>
    <x:col min="7" max="7" width="18" hidden="0" customWidth="1"/>
    <x:col min="8" max="8" width="26" hidden="0" customWidth="1"/>
  </x:cols>
  <x:sheetData>
    <x:row r="1" ht="28" customHeight="1">
      <x:c r="A1" s="4" t="str">
        <x:v>03 BASELINE</x:v>
      </x:c>
      <x:c r="B1" s="4"/>
      <x:c r="C1" s="4"/>
      <x:c r="D1" s="4"/>
      <x:c r="E1" s="4"/>
      <x:c r="F1" s="4"/>
      <x:c r="G1" s="4"/>
      <x:c r="H1" s="4"/>
      <x:c r="I1" s="4"/>
    </x:row>
    <x:row r="2" ht="28" customHeight="1">
      <x:c r="A2" s="4"/>
      <x:c r="B2" s="4"/>
      <x:c r="C2" s="4"/>
      <x:c r="D2" s="4"/>
      <x:c r="E2" s="4"/>
      <x:c r="F2" s="4"/>
      <x:c r="G2" s="4"/>
      <x:c r="H2" s="4"/>
      <x:c r="I2" s="4"/>
    </x:row>
    <x:row r="3" ht="32" customHeight="1">
      <x:c r="A3" s="8" t="str">
        <x:v>Période normale, tension et cas rare critique — EXEMPLE FICTIF — arrêté 2026-07-28</x:v>
      </x:c>
      <x:c r="B3" s="8"/>
      <x:c r="C3" s="8"/>
      <x:c r="D3" s="8"/>
      <x:c r="E3" s="8"/>
      <x:c r="F3" s="8"/>
      <x:c r="G3" s="8"/>
      <x:c r="H3" s="8"/>
      <x:c r="I3" s="8"/>
    </x:row>
    <x:row r="5" ht="34" customHeight="1">
      <x:c r="B5" s="13" t="str">
        <x:v>Période</x:v>
      </x:c>
      <x:c r="C5" s="13" t="str">
        <x:v>Dénominateur</x:v>
      </x:c>
      <x:c r="D5" s="13" t="str">
        <x:v>Événements</x:v>
      </x:c>
      <x:c r="E5" s="13" t="str">
        <x:v>Médiane (min)</x:v>
      </x:c>
      <x:c r="F5" s="13" t="str">
        <x:v>Maximum (min)</x:v>
      </x:c>
      <x:c r="G5" s="13" t="str">
        <x:v>Taux exception</x:v>
      </x:c>
      <x:c r="H5" s="13" t="str">
        <x:v>Preuve / limite</x:v>
      </x:c>
      <x:c r="I5" s="13" t="str">
        <x:v>Statut</x:v>
      </x:c>
    </x:row>
    <x:row r="6" ht="64" customHeight="1">
      <x:c r="B6" s="23" t="str">
        <x:v>Fonctionnement normal</x:v>
      </x:c>
      <x:c r="C6" s="23" t="n">
        <x:v>420</x:v>
      </x:c>
      <x:c r="D6" s="23" t="n">
        <x:v>18</x:v>
      </x:c>
      <x:c r="E6" s="23" t="n">
        <x:v>20</x:v>
      </x:c>
      <x:c r="F6" s="23" t="n">
        <x:v>150</x:v>
      </x:c>
      <x:c r="G6" s="39" t="n">
        <x:v>0.043</x:v>
      </x:c>
      <x:c r="H6" s="23" t="str">
        <x:v>EXEMPLE FICTIF — semaine ordinaire</x:v>
      </x:c>
      <x:c r="I6" s="34" t="str">
        <x:f>IF(COUNT(C6:G6)=5,IF(AND(AND(LEN(TRIM(B6))&gt;=3,AND(IFERROR(SEARCH("FICTI",B6),0)=0,IFERROR(SEARCH("EXEMPLE",B6),0)=0,IFERROR(SEARCH("FIXTURE",B6),0)=0)),COUNTIF($B$6:$B$8,B6)=1,C6&gt;0,INT(C6)=C6,D6&gt;=0,INT(D6)=D6,D6&lt;=C6,E6&gt;=0,F6&gt;=E6,C6&lt;=1000000,D6&lt;=1000000,E6&lt;=1000000,F6&lt;=1000000,G6&gt;=0,G6&lt;=1,ROUND(G6,4)=G6,AND(LEN(TRIM(H6))&gt;=6,AND(IFERROR(SEARCH("FICTI",H6),0)=0,IFERROR(SEARCH("EXEMPLE",H6),0)=0,IFERROR(SEARCH("FIXTURE",H6),0)=0))),"PASS","INCOMPLET"),"INCOMPLET")</x:f>
        <x:v>INCOMPLET</x:v>
      </x:c>
    </x:row>
    <x:row r="7" ht="64" customHeight="1">
      <x:c r="B7" s="23" t="str">
        <x:v>Période de tension</x:v>
      </x:c>
      <x:c r="C7" s="23" t="n">
        <x:v>610</x:v>
      </x:c>
      <x:c r="D7" s="23" t="n">
        <x:v>41</x:v>
      </x:c>
      <x:c r="E7" s="23" t="n">
        <x:v>28</x:v>
      </x:c>
      <x:c r="F7" s="23" t="n">
        <x:v>310</x:v>
      </x:c>
      <x:c r="G7" s="39" t="n">
        <x:v>0.067</x:v>
      </x:c>
      <x:c r="H7" s="23" t="str">
        <x:v>EXEMPLE FICTIF — clôture</x:v>
      </x:c>
      <x:c r="I7" s="34" t="str">
        <x:f>IF(COUNT(C7:G7)=5,IF(AND(AND(LEN(TRIM(B7))&gt;=3,AND(IFERROR(SEARCH("FICTI",B7),0)=0,IFERROR(SEARCH("EXEMPLE",B7),0)=0,IFERROR(SEARCH("FIXTURE",B7),0)=0)),COUNTIF($B$6:$B$8,B7)=1,C7&gt;0,INT(C7)=C7,D7&gt;=0,INT(D7)=D7,D7&lt;=C7,E7&gt;=0,F7&gt;=E7,C7&lt;=1000000,D7&lt;=1000000,E7&lt;=1000000,F7&lt;=1000000,G7&gt;=0,G7&lt;=1,ROUND(G7,4)=G7,AND(LEN(TRIM(H7))&gt;=6,AND(IFERROR(SEARCH("FICTI",H7),0)=0,IFERROR(SEARCH("EXEMPLE",H7),0)=0,IFERROR(SEARCH("FIXTURE",H7),0)=0))),"PASS","INCOMPLET"),"INCOMPLET")</x:f>
        <x:v>INCOMPLET</x:v>
      </x:c>
    </x:row>
    <x:row r="8" ht="64" customHeight="1">
      <x:c r="B8" s="24" t="str">
        <x:v>Cas rare critique</x:v>
      </x:c>
      <x:c r="C8" s="24" t="n">
        <x:v>1</x:v>
      </x:c>
      <x:c r="D8" s="24" t="n">
        <x:v>1</x:v>
      </x:c>
      <x:c r="E8" s="24" t="n">
        <x:v>55</x:v>
      </x:c>
      <x:c r="F8" s="24" t="n">
        <x:v>240</x:v>
      </x:c>
      <x:c r="G8" s="40" t="n">
        <x:v>1</x:v>
      </x:c>
      <x:c r="H8" s="24" t="str">
        <x:v>EXEMPLE FICTIF — ne pas moyenner</x:v>
      </x:c>
      <x:c r="I8" s="36" t="str">
        <x:f>IF(COUNT(C8:G8)=5,IF(AND(AND(LEN(TRIM(B8))&gt;=3,AND(IFERROR(SEARCH("FICTI",B8),0)=0,IFERROR(SEARCH("EXEMPLE",B8),0)=0,IFERROR(SEARCH("FIXTURE",B8),0)=0)),COUNTIF($B$6:$B$8,B8)=1,C8&gt;0,INT(C8)=C8,D8&gt;=0,INT(D8)=D8,D8&lt;=C8,E8&gt;=0,F8&gt;=E8,C8&lt;=1000000,D8&lt;=1000000,E8&lt;=1000000,F8&lt;=1000000,G8&gt;=0,G8&lt;=1,ROUND(G8,4)=G8,AND(LEN(TRIM(H8))&gt;=6,AND(IFERROR(SEARCH("FICTI",H8),0)=0,IFERROR(SEARCH("EXEMPLE",H8),0)=0,IFERROR(SEARCH("FIXTURE",H8),0)=0))),"PASS","INCOMPLET"),"INCOMPLET")</x:f>
        <x:v>INCOMPLET</x:v>
      </x:c>
    </x:row>
  </x:sheetData>
  <x:mergeCells>
    <x:mergeCell ref="A1:I2"/>
    <x:mergeCell ref="A3:I3"/>
  </x:mergeCells>
  <x:conditionalFormatting sqref="I6:I8">
    <x:cfRule type="containsText" dxfId="12" priority="1" operator="containsText" text="STOP"/>
    <x:cfRule type="containsText" dxfId="13" priority="2" operator="containsText" text="BLOQUE"/>
    <x:cfRule type="containsText" dxfId="14" priority="3" operator="containsText" text="INCOMPLET"/>
    <x:cfRule type="containsText" dxfId="15" priority="4" operator="containsText" text="PASS"/>
  </x:conditionalFormatting>
  <x:pageMargins left="0.7" right="0.7" top="0.75" bottom="0.75" header="0.3" footer="0.3"/>
  <x:tableParts count="1">
    <x:tablePart xmlns:r="http://schemas.openxmlformats.org/officeDocument/2006/relationships" r:id="R39fb69e8fa6d4534"/>
  </x:tableParts>
</x:worksheet>
</file>

<file path=xl/worksheets/sheet5.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14" hidden="0" customWidth="1"/>
    <x:col min="3" max="3" width="28" hidden="0" customWidth="1"/>
    <x:col min="4" max="4" width="28" hidden="0" customWidth="1"/>
    <x:col min="5" max="5" width="28" hidden="0" customWidth="1"/>
    <x:col min="6" max="6" width="22" hidden="0" customWidth="1"/>
    <x:col min="7" max="7" width="18" hidden="0" customWidth="1"/>
    <x:col min="8" max="8" width="24" hidden="0" customWidth="1"/>
  </x:cols>
  <x:sheetData>
    <x:row r="1" ht="28" customHeight="1">
      <x:c r="A1" s="4" t="str">
        <x:v>04 REGLES EXCEPTIONS</x:v>
      </x:c>
      <x:c r="B1" s="4"/>
      <x:c r="C1" s="4"/>
      <x:c r="D1" s="4"/>
      <x:c r="E1" s="4"/>
      <x:c r="F1" s="4"/>
      <x:c r="G1" s="4"/>
      <x:c r="H1" s="4"/>
      <x:c r="I1" s="4"/>
    </x:row>
    <x:row r="2" ht="28" customHeight="1">
      <x:c r="A2" s="4"/>
      <x:c r="B2" s="4"/>
      <x:c r="C2" s="4"/>
      <x:c r="D2" s="4"/>
      <x:c r="E2" s="4"/>
      <x:c r="F2" s="4"/>
      <x:c r="G2" s="4"/>
      <x:c r="H2" s="4"/>
      <x:c r="I2" s="4"/>
    </x:row>
    <x:row r="3" ht="32" customHeight="1">
      <x:c r="A3" s="8" t="str">
        <x:v>Règles versionnées, exceptions, arbitres et contrôles — EXEMPLE FICTIF — arrêté 2026-07-28</x:v>
      </x:c>
      <x:c r="B3" s="8"/>
      <x:c r="C3" s="8"/>
      <x:c r="D3" s="8"/>
      <x:c r="E3" s="8"/>
      <x:c r="F3" s="8"/>
      <x:c r="G3" s="8"/>
      <x:c r="H3" s="8"/>
      <x:c r="I3" s="8"/>
    </x:row>
    <x:row r="5" ht="34" customHeight="1">
      <x:c r="B5" s="13" t="str">
        <x:v>ID</x:v>
      </x:c>
      <x:c r="C5" s="13" t="str">
        <x:v>Condition</x:v>
      </x:c>
      <x:c r="D5" s="13" t="str">
        <x:v>Résultat attendu</x:v>
      </x:c>
      <x:c r="E5" s="13" t="str">
        <x:v>Exception / cas négatif</x:v>
      </x:c>
      <x:c r="F5" s="13" t="str">
        <x:v>Arbitre</x:v>
      </x:c>
      <x:c r="G5" s="13" t="str">
        <x:v>Version</x:v>
      </x:c>
      <x:c r="H5" s="13" t="str">
        <x:v>Contrôle</x:v>
      </x:c>
      <x:c r="I5" s="13" t="str">
        <x:v>Statut</x:v>
      </x:c>
    </x:row>
    <x:row r="6" ht="72" customHeight="1">
      <x:c r="B6" s="23" t="str">
        <x:v>REG-01</x:v>
      </x:c>
      <x:c r="C6" s="23" t="str">
        <x:v>Remise &gt; 12 %</x:v>
      </x:c>
      <x:c r="D6" s="23" t="str">
        <x:v>Validation commerciale</x:v>
      </x:c>
      <x:c r="E6" s="23" t="str">
        <x:v>Contrat-cadre</x:v>
      </x:c>
      <x:c r="F6" s="23" t="str">
        <x:v>Direction commerciale</x:v>
      </x:c>
      <x:c r="G6" s="23" t="str">
        <x:v>v1 — fictif</x:v>
      </x:c>
      <x:c r="H6" s="23" t="str">
        <x:v>Test positif + négatif</x:v>
      </x:c>
      <x:c r="I6" s="34" t="str">
        <x:f>IF(AND(AND(LEN(TRIM(B6))&gt;=3,AND(IFERROR(SEARCH("FICTI",B6),0)=0,IFERROR(SEARCH("EXEMPLE",B6),0)=0,IFERROR(SEARCH("FIXTURE",B6),0)=0)),AND(LEN(TRIM(C6))&gt;=3,AND(IFERROR(SEARCH("FICTI",C6),0)=0,IFERROR(SEARCH("EXEMPLE",C6),0)=0,IFERROR(SEARCH("FIXTURE",C6),0)=0)),AND(LEN(TRIM(D6))&gt;=3,AND(IFERROR(SEARCH("FICTI",D6),0)=0,IFERROR(SEARCH("EXEMPLE",D6),0)=0,IFERROR(SEARCH("FIXTURE",D6),0)=0)),AND(LEN(TRIM(E6))&gt;=3,AND(IFERROR(SEARCH("FICTI",E6),0)=0,IFERROR(SEARCH("EXEMPLE",E6),0)=0,IFERROR(SEARCH("FIXTURE",E6),0)=0)),AND(LEN(TRIM(F6))&gt;=3,AND(IFERROR(SEARCH("FICTI",F6),0)=0,IFERROR(SEARCH("EXEMPLE",F6),0)=0,IFERROR(SEARCH("FIXTURE",F6),0)=0)),AND(LEN(TRIM(G6))&gt;=3,AND(IFERROR(SEARCH("FICTI",G6),0)=0,IFERROR(SEARCH("EXEMPLE",G6),0)=0,IFERROR(SEARCH("FIXTURE",G6),0)=0)),AND(LEN(TRIM(H6))&gt;=3,AND(IFERROR(SEARCH("FICTI",H6),0)=0,IFERROR(SEARCH("EXEMPLE",H6),0)=0,IFERROR(SEARCH("FIXTURE",H6),0)=0)),COUNTIF($B$6:$B$11,B6)=1),"PASS","INCOMPLET")</x:f>
        <x:v>INCOMPLET</x:v>
      </x:c>
    </x:row>
    <x:row r="7" ht="72" customHeight="1">
      <x:c r="B7" s="23" t="str">
        <x:v>REG-02</x:v>
      </x:c>
      <x:c r="C7" s="23" t="str">
        <x:v>Commande validée</x:v>
      </x:c>
      <x:c r="D7" s="23" t="str">
        <x:v>Créneau proposé</x:v>
      </x:c>
      <x:c r="E7" s="23" t="str">
        <x:v>Capacité incertaine</x:v>
      </x:c>
      <x:c r="F7" s="23" t="str">
        <x:v>Responsable planning</x:v>
      </x:c>
      <x:c r="G7" s="23" t="str">
        <x:v>v1 — fictif</x:v>
      </x:c>
      <x:c r="H7" s="23" t="str">
        <x:v>Journal réservation</x:v>
      </x:c>
      <x:c r="I7" s="34" t="str">
        <x:f>IF(AND(AND(LEN(TRIM(B7))&gt;=3,AND(IFERROR(SEARCH("FICTI",B7),0)=0,IFERROR(SEARCH("EXEMPLE",B7),0)=0,IFERROR(SEARCH("FIXTURE",B7),0)=0)),AND(LEN(TRIM(C7))&gt;=3,AND(IFERROR(SEARCH("FICTI",C7),0)=0,IFERROR(SEARCH("EXEMPLE",C7),0)=0,IFERROR(SEARCH("FIXTURE",C7),0)=0)),AND(LEN(TRIM(D7))&gt;=3,AND(IFERROR(SEARCH("FICTI",D7),0)=0,IFERROR(SEARCH("EXEMPLE",D7),0)=0,IFERROR(SEARCH("FIXTURE",D7),0)=0)),AND(LEN(TRIM(E7))&gt;=3,AND(IFERROR(SEARCH("FICTI",E7),0)=0,IFERROR(SEARCH("EXEMPLE",E7),0)=0,IFERROR(SEARCH("FIXTURE",E7),0)=0)),AND(LEN(TRIM(F7))&gt;=3,AND(IFERROR(SEARCH("FICTI",F7),0)=0,IFERROR(SEARCH("EXEMPLE",F7),0)=0,IFERROR(SEARCH("FIXTURE",F7),0)=0)),AND(LEN(TRIM(G7))&gt;=3,AND(IFERROR(SEARCH("FICTI",G7),0)=0,IFERROR(SEARCH("EXEMPLE",G7),0)=0,IFERROR(SEARCH("FIXTURE",G7),0)=0)),AND(LEN(TRIM(H7))&gt;=3,AND(IFERROR(SEARCH("FICTI",H7),0)=0,IFERROR(SEARCH("EXEMPLE",H7),0)=0,IFERROR(SEARCH("FIXTURE",H7),0)=0)),COUNTIF($B$6:$B$11,B7)=1),"PASS","INCOMPLET")</x:f>
        <x:v>INCOMPLET</x:v>
      </x:c>
    </x:row>
    <x:row r="8" ht="72" customHeight="1">
      <x:c r="B8" s="23" t="str">
        <x:v>REG-03</x:v>
      </x:c>
      <x:c r="C8" s="23" t="str">
        <x:v>Client actif</x:v>
      </x:c>
      <x:c r="D8" s="23" t="str">
        <x:v>Dossier synchronisé</x:v>
      </x:c>
      <x:c r="E8" s="23" t="str">
        <x:v>Doublon d’identité</x:v>
      </x:c>
      <x:c r="F8" s="23" t="str">
        <x:v>Data owner</x:v>
      </x:c>
      <x:c r="G8" s="23" t="str">
        <x:v>v1 — fictif</x:v>
      </x:c>
      <x:c r="H8" s="23" t="str">
        <x:v>Rapprochement</x:v>
      </x:c>
      <x:c r="I8" s="34" t="str">
        <x:f>IF(AND(AND(LEN(TRIM(B8))&gt;=3,AND(IFERROR(SEARCH("FICTI",B8),0)=0,IFERROR(SEARCH("EXEMPLE",B8),0)=0,IFERROR(SEARCH("FIXTURE",B8),0)=0)),AND(LEN(TRIM(C8))&gt;=3,AND(IFERROR(SEARCH("FICTI",C8),0)=0,IFERROR(SEARCH("EXEMPLE",C8),0)=0,IFERROR(SEARCH("FIXTURE",C8),0)=0)),AND(LEN(TRIM(D8))&gt;=3,AND(IFERROR(SEARCH("FICTI",D8),0)=0,IFERROR(SEARCH("EXEMPLE",D8),0)=0,IFERROR(SEARCH("FIXTURE",D8),0)=0)),AND(LEN(TRIM(E8))&gt;=3,AND(IFERROR(SEARCH("FICTI",E8),0)=0,IFERROR(SEARCH("EXEMPLE",E8),0)=0,IFERROR(SEARCH("FIXTURE",E8),0)=0)),AND(LEN(TRIM(F8))&gt;=3,AND(IFERROR(SEARCH("FICTI",F8),0)=0,IFERROR(SEARCH("EXEMPLE",F8),0)=0,IFERROR(SEARCH("FIXTURE",F8),0)=0)),AND(LEN(TRIM(G8))&gt;=3,AND(IFERROR(SEARCH("FICTI",G8),0)=0,IFERROR(SEARCH("EXEMPLE",G8),0)=0,IFERROR(SEARCH("FIXTURE",G8),0)=0)),AND(LEN(TRIM(H8))&gt;=3,AND(IFERROR(SEARCH("FICTI",H8),0)=0,IFERROR(SEARCH("EXEMPLE",H8),0)=0,IFERROR(SEARCH("FIXTURE",H8),0)=0)),COUNTIF($B$6:$B$11,B8)=1),"PASS","INCOMPLET")</x:f>
        <x:v>INCOMPLET</x:v>
      </x:c>
    </x:row>
    <x:row r="9" ht="72" customHeight="1">
      <x:c r="B9" s="23" t="str">
        <x:v>REG-04</x:v>
      </x:c>
      <x:c r="C9" s="23" t="str">
        <x:v>Adresse modifiée</x:v>
      </x:c>
      <x:c r="D9" s="23" t="str">
        <x:v>Planning mis à jour</x:v>
      </x:c>
      <x:c r="E9" s="23" t="str">
        <x:v>Intervention commencée</x:v>
      </x:c>
      <x:c r="F9" s="23" t="str">
        <x:v>Opérations</x:v>
      </x:c>
      <x:c r="G9" s="23" t="str">
        <x:v>v1 — fictif</x:v>
      </x:c>
      <x:c r="H9" s="23" t="str">
        <x:v>Rejeu idempotent</x:v>
      </x:c>
      <x:c r="I9" s="34" t="str">
        <x:f>IF(AND(AND(LEN(TRIM(B9))&gt;=3,AND(IFERROR(SEARCH("FICTI",B9),0)=0,IFERROR(SEARCH("EXEMPLE",B9),0)=0,IFERROR(SEARCH("FIXTURE",B9),0)=0)),AND(LEN(TRIM(C9))&gt;=3,AND(IFERROR(SEARCH("FICTI",C9),0)=0,IFERROR(SEARCH("EXEMPLE",C9),0)=0,IFERROR(SEARCH("FIXTURE",C9),0)=0)),AND(LEN(TRIM(D9))&gt;=3,AND(IFERROR(SEARCH("FICTI",D9),0)=0,IFERROR(SEARCH("EXEMPLE",D9),0)=0,IFERROR(SEARCH("FIXTURE",D9),0)=0)),AND(LEN(TRIM(E9))&gt;=3,AND(IFERROR(SEARCH("FICTI",E9),0)=0,IFERROR(SEARCH("EXEMPLE",E9),0)=0,IFERROR(SEARCH("FIXTURE",E9),0)=0)),AND(LEN(TRIM(F9))&gt;=3,AND(IFERROR(SEARCH("FICTI",F9),0)=0,IFERROR(SEARCH("EXEMPLE",F9),0)=0,IFERROR(SEARCH("FIXTURE",F9),0)=0)),AND(LEN(TRIM(G9))&gt;=3,AND(IFERROR(SEARCH("FICTI",G9),0)=0,IFERROR(SEARCH("EXEMPLE",G9),0)=0,IFERROR(SEARCH("FIXTURE",G9),0)=0)),AND(LEN(TRIM(H9))&gt;=3,AND(IFERROR(SEARCH("FICTI",H9),0)=0,IFERROR(SEARCH("EXEMPLE",H9),0)=0,IFERROR(SEARCH("FIXTURE",H9),0)=0)),COUNTIF($B$6:$B$11,B9)=1),"PASS","INCOMPLET")</x:f>
        <x:v>INCOMPLET</x:v>
      </x:c>
    </x:row>
    <x:row r="10" ht="72" customHeight="1">
      <x:c r="B10" s="23" t="str">
        <x:v>REG-05</x:v>
      </x:c>
      <x:c r="C10" s="23" t="str">
        <x:v>Responsable absent</x:v>
      </x:c>
      <x:c r="D10" s="23" t="str">
        <x:v>Suppléant notifié</x:v>
      </x:c>
      <x:c r="E10" s="23" t="str">
        <x:v>Aucun suppléant</x:v>
      </x:c>
      <x:c r="F10" s="23" t="str">
        <x:v>Direction</x:v>
      </x:c>
      <x:c r="G10" s="23" t="str">
        <x:v>v1 — fictif</x:v>
      </x:c>
      <x:c r="H10" s="23" t="str">
        <x:v>Exercice mode dégradé</x:v>
      </x:c>
      <x:c r="I10" s="34" t="str">
        <x:f>IF(AND(AND(LEN(TRIM(B10))&gt;=3,AND(IFERROR(SEARCH("FICTI",B10),0)=0,IFERROR(SEARCH("EXEMPLE",B10),0)=0,IFERROR(SEARCH("FIXTURE",B10),0)=0)),AND(LEN(TRIM(C10))&gt;=3,AND(IFERROR(SEARCH("FICTI",C10),0)=0,IFERROR(SEARCH("EXEMPLE",C10),0)=0,IFERROR(SEARCH("FIXTURE",C10),0)=0)),AND(LEN(TRIM(D10))&gt;=3,AND(IFERROR(SEARCH("FICTI",D10),0)=0,IFERROR(SEARCH("EXEMPLE",D10),0)=0,IFERROR(SEARCH("FIXTURE",D10),0)=0)),AND(LEN(TRIM(E10))&gt;=3,AND(IFERROR(SEARCH("FICTI",E10),0)=0,IFERROR(SEARCH("EXEMPLE",E10),0)=0,IFERROR(SEARCH("FIXTURE",E10),0)=0)),AND(LEN(TRIM(F10))&gt;=3,AND(IFERROR(SEARCH("FICTI",F10),0)=0,IFERROR(SEARCH("EXEMPLE",F10),0)=0,IFERROR(SEARCH("FIXTURE",F10),0)=0)),AND(LEN(TRIM(G10))&gt;=3,AND(IFERROR(SEARCH("FICTI",G10),0)=0,IFERROR(SEARCH("EXEMPLE",G10),0)=0,IFERROR(SEARCH("FIXTURE",G10),0)=0)),AND(LEN(TRIM(H10))&gt;=3,AND(IFERROR(SEARCH("FICTI",H10),0)=0,IFERROR(SEARCH("EXEMPLE",H10),0)=0,IFERROR(SEARCH("FIXTURE",H10),0)=0)),COUNTIF($B$6:$B$11,B10)=1),"PASS","INCOMPLET")</x:f>
        <x:v>INCOMPLET</x:v>
      </x:c>
    </x:row>
    <x:row r="11" ht="72" customHeight="1">
      <x:c r="B11" s="24" t="str">
        <x:v>REG-06</x:v>
      </x:c>
      <x:c r="C11" s="24" t="str">
        <x:v>Export demandé</x:v>
      </x:c>
      <x:c r="D11" s="24" t="str">
        <x:v>Données + liens fournis</x:v>
      </x:c>
      <x:c r="E11" s="24" t="str">
        <x:v>Pièce inaccessible</x:v>
      </x:c>
      <x:c r="F11" s="24" t="str">
        <x:v>DSI / prestataire</x:v>
      </x:c>
      <x:c r="G11" s="24" t="str">
        <x:v>v1 — fictif</x:v>
      </x:c>
      <x:c r="H11" s="24" t="str">
        <x:v>Réimport de contrôle</x:v>
      </x:c>
      <x:c r="I11" s="36" t="str">
        <x:f>IF(AND(AND(LEN(TRIM(B11))&gt;=3,AND(IFERROR(SEARCH("FICTI",B11),0)=0,IFERROR(SEARCH("EXEMPLE",B11),0)=0,IFERROR(SEARCH("FIXTURE",B11),0)=0)),AND(LEN(TRIM(C11))&gt;=3,AND(IFERROR(SEARCH("FICTI",C11),0)=0,IFERROR(SEARCH("EXEMPLE",C11),0)=0,IFERROR(SEARCH("FIXTURE",C11),0)=0)),AND(LEN(TRIM(D11))&gt;=3,AND(IFERROR(SEARCH("FICTI",D11),0)=0,IFERROR(SEARCH("EXEMPLE",D11),0)=0,IFERROR(SEARCH("FIXTURE",D11),0)=0)),AND(LEN(TRIM(E11))&gt;=3,AND(IFERROR(SEARCH("FICTI",E11),0)=0,IFERROR(SEARCH("EXEMPLE",E11),0)=0,IFERROR(SEARCH("FIXTURE",E11),0)=0)),AND(LEN(TRIM(F11))&gt;=3,AND(IFERROR(SEARCH("FICTI",F11),0)=0,IFERROR(SEARCH("EXEMPLE",F11),0)=0,IFERROR(SEARCH("FIXTURE",F11),0)=0)),AND(LEN(TRIM(G11))&gt;=3,AND(IFERROR(SEARCH("FICTI",G11),0)=0,IFERROR(SEARCH("EXEMPLE",G11),0)=0,IFERROR(SEARCH("FIXTURE",G11),0)=0)),AND(LEN(TRIM(H11))&gt;=3,AND(IFERROR(SEARCH("FICTI",H11),0)=0,IFERROR(SEARCH("EXEMPLE",H11),0)=0,IFERROR(SEARCH("FIXTURE",H11),0)=0)),COUNTIF($B$6:$B$11,B11)=1),"PASS","INCOMPLET")</x:f>
        <x:v>INCOMPLET</x:v>
      </x:c>
    </x:row>
  </x:sheetData>
  <x:mergeCells>
    <x:mergeCell ref="A1:I2"/>
    <x:mergeCell ref="A3:I3"/>
  </x:mergeCells>
  <x:conditionalFormatting sqref="I6:I11">
    <x:cfRule type="containsText" dxfId="16" priority="1" operator="containsText" text="STOP"/>
    <x:cfRule type="containsText" dxfId="17" priority="2" operator="containsText" text="BLOQUE"/>
    <x:cfRule type="containsText" dxfId="18" priority="3" operator="containsText" text="INCOMPLET"/>
    <x:cfRule type="containsText" dxfId="19" priority="4" operator="containsText" text="PASS"/>
  </x:conditionalFormatting>
  <x:pageMargins left="0.7" right="0.7" top="0.75" bottom="0.75" header="0.3" footer="0.3"/>
  <x:tableParts count="1">
    <x:tablePart xmlns:r="http://schemas.openxmlformats.org/officeDocument/2006/relationships" r:id="Rc2550cfc8d7c486f"/>
  </x:tableParts>
</x:worksheet>
</file>

<file path=xl/worksheets/sheet6.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17" hidden="0" customWidth="1"/>
    <x:col min="3" max="3" width="2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2" hidden="0" customWidth="1"/>
    <x:col min="12" max="12" width="26" hidden="0" customWidth="1"/>
    <x:col min="13" max="13" width="26" hidden="0" customWidth="1"/>
    <x:col min="14" max="14" width="18" hidden="0" customWidth="1"/>
  </x:cols>
  <x:sheetData>
    <x:row r="1" ht="28" customHeight="1">
      <x:c r="A1" s="4" t="str">
        <x:v>05 OPTIONS TESTS</x:v>
      </x:c>
      <x:c r="B1" s="4"/>
      <x:c r="C1" s="4"/>
      <x:c r="D1" s="4"/>
      <x:c r="E1" s="4"/>
      <x:c r="F1" s="4"/>
      <x:c r="G1" s="4"/>
      <x:c r="H1" s="4"/>
      <x:c r="I1" s="4"/>
      <x:c r="J1" s="4"/>
      <x:c r="K1" s="4"/>
      <x:c r="L1" s="4"/>
      <x:c r="M1" s="4"/>
      <x:c r="N1" s="4"/>
    </x:row>
    <x:row r="2" ht="28" customHeight="1">
      <x:c r="A2" s="4"/>
      <x:c r="B2" s="4"/>
      <x:c r="C2" s="4"/>
      <x:c r="D2" s="4"/>
      <x:c r="E2" s="4"/>
      <x:c r="F2" s="4"/>
      <x:c r="G2" s="4"/>
      <x:c r="H2" s="4"/>
      <x:c r="I2" s="4"/>
      <x:c r="J2" s="4"/>
      <x:c r="K2" s="4"/>
      <x:c r="L2" s="4"/>
      <x:c r="M2" s="4"/>
      <x:c r="N2" s="4"/>
    </x:row>
    <x:row r="3" ht="32" customHeight="1">
      <x:c r="A3" s="8" t="str">
        <x:v>Même périmètre et mêmes cas rejoués pour chaque option — EXEMPLE FICTIF — arrêté 2026-07-28</x:v>
      </x:c>
      <x:c r="B3" s="8"/>
      <x:c r="C3" s="8"/>
      <x:c r="D3" s="8"/>
      <x:c r="E3" s="8"/>
      <x:c r="F3" s="8"/>
      <x:c r="G3" s="8"/>
      <x:c r="H3" s="8"/>
      <x:c r="I3" s="8"/>
      <x:c r="J3" s="8"/>
      <x:c r="K3" s="8"/>
      <x:c r="L3" s="8"/>
      <x:c r="M3" s="8"/>
      <x:c r="N3" s="8"/>
    </x:row>
    <x:row r="5" ht="34" customHeight="1">
      <x:c r="B5" s="13" t="str">
        <x:v>ID</x:v>
      </x:c>
      <x:c r="C5" s="13" t="str">
        <x:v>Option</x:v>
      </x:c>
      <x:c r="D5" s="13" t="str">
        <x:v>Action</x:v>
      </x:c>
      <x:c r="E5" s="13" t="str">
        <x:v>Option réelle confirmée</x:v>
      </x:c>
      <x:c r="F5" s="13" t="str">
        <x:v>Périmètre identique</x:v>
      </x:c>
      <x:c r="G5" s="13" t="str">
        <x:v>Cas courant</x:v>
      </x:c>
      <x:c r="H5" s="13" t="str">
        <x:v>Cas difficile</x:v>
      </x:c>
      <x:c r="I5" s="13" t="str">
        <x:v>Cas critique</x:v>
      </x:c>
      <x:c r="J5" s="13" t="str">
        <x:v>Export</x:v>
      </x:c>
      <x:c r="K5" s="13" t="str">
        <x:v>Mode dégradé</x:v>
      </x:c>
      <x:c r="L5" s="13" t="str">
        <x:v>Niveau de preuve</x:v>
      </x:c>
      <x:c r="M5" s="13" t="str">
        <x:v>Écart précis</x:v>
      </x:c>
      <x:c r="N5" s="13" t="str">
        <x:v>Statut</x:v>
      </x:c>
    </x:row>
    <x:row r="6" ht="76" customHeight="1">
      <x:c r="B6" s="23" t="str">
        <x:v>OPT-01</x:v>
      </x:c>
      <x:c r="C6" s="23" t="str">
        <x:v>Corriger l’existant</x:v>
      </x:c>
      <x:c r="D6" s="23" t="str">
        <x:v>CORRIGER_STANDARDISER</x:v>
      </x:c>
      <x:c r="E6" s="23" t="str">
        <x:v>NON</x:v>
      </x:c>
      <x:c r="F6" s="23" t="str">
        <x:v>OUI</x:v>
      </x:c>
      <x:c r="G6" s="23" t="str">
        <x:v>PASS</x:v>
      </x:c>
      <x:c r="H6" s="23" t="str">
        <x:v>PASS</x:v>
      </x:c>
      <x:c r="I6" s="23" t="str">
        <x:v>PASS</x:v>
      </x:c>
      <x:c r="J6" s="23" t="str">
        <x:v>PASS</x:v>
      </x:c>
      <x:c r="K6" s="23" t="str">
        <x:v>PASS</x:v>
      </x:c>
      <x:c r="L6" s="23" t="str">
        <x:v>VERIFIE</x:v>
      </x:c>
      <x:c r="M6" s="23" t="str">
        <x:v>Ne traite pas la cause SIT-03</x:v>
      </x:c>
      <x:c r="N6" s="34" t="str">
        <x:f>IF(AND(B6="NON_UTILISE",C6="NON_UTILISE",D6="NON_UTILISE",E6="NON_UTILISE",F6="NON_UTILISE",G6="NON_UTILISE",H6="NON_UTILISE",I6="NON_UTILISE",J6="NON_UTILISE",K6="NON_UTILISE",L6="NON_UTILISE",M6="NON_UTILISE"),"NON_UTILISE",IF(OR(F6="NON",G6="ECHEC",H6="ECHEC",I6="ECHEC",J6="ECHEC",K6="ECHEC",L6="ECHEC"),"STOP",IF(AND(AND(LEN(TRIM(B6))&gt;=3,AND(IFERROR(SEARCH("FICTI",B6),0)=0,IFERROR(SEARCH("EXEMPLE",B6),0)=0,IFERROR(SEARCH("FIXTURE",B6),0)=0)),AND(LEN(TRIM(C6))&gt;=3,AND(IFERROR(SEARCH("FICTI",C6),0)=0,IFERROR(SEARCH("EXEMPLE",C6),0)=0,IFERROR(SEARCH("FIXTURE",C6),0)=0)),OR(D6="CORRIGER_STANDARDISER",D6="INTEGRER_AUTOMATISER",D6="ACHETER_CONFIGURER",D6="ETUDIER_SUR_MESURE"),E6="OUI",F6="OUI",G6="PASS",H6="PASS",I6="PASS",J6="PASS",K6="PASS",L6="VERIFIE",AND(LEN(TRIM(M6))&gt;=3,AND(IFERROR(SEARCH("FICTI",M6),0)=0,IFERROR(SEARCH("EXEMPLE",M6),0)=0,IFERROR(SEARCH("FIXTURE",M6),0)=0)),COUNTIF($B$6:$B$11,B6)=1,COUNTIF($C$6:$C$11,C6)=1,'06_TCO_12_36_60'!B6=B6,'06_TCO_12_36_60'!C6=C6),"PASS","INCOMPLET")))</x:f>
        <x:v>INCOMPLET</x:v>
      </x:c>
    </x:row>
    <x:row r="7" ht="76" customHeight="1">
      <x:c r="B7" s="23" t="str">
        <x:v>OPT-02</x:v>
      </x:c>
      <x:c r="C7" s="23" t="str">
        <x:v>Connecter CRM et planning</x:v>
      </x:c>
      <x:c r="D7" s="23" t="str">
        <x:v>INTEGRER_AUTOMATISER</x:v>
      </x:c>
      <x:c r="E7" s="23" t="str">
        <x:v>NON</x:v>
      </x:c>
      <x:c r="F7" s="23" t="str">
        <x:v>OUI</x:v>
      </x:c>
      <x:c r="G7" s="23" t="str">
        <x:v>PASS</x:v>
      </x:c>
      <x:c r="H7" s="23" t="str">
        <x:v>PASS</x:v>
      </x:c>
      <x:c r="I7" s="23" t="str">
        <x:v>PASS</x:v>
      </x:c>
      <x:c r="J7" s="23" t="str">
        <x:v>PASS</x:v>
      </x:c>
      <x:c r="K7" s="23" t="str">
        <x:v>PASS</x:v>
      </x:c>
      <x:c r="L7" s="23" t="str">
        <x:v>VERIFIE</x:v>
      </x:c>
      <x:c r="M7" s="23" t="str">
        <x:v>Dépend des identifiants</x:v>
      </x:c>
      <x:c r="N7" s="34" t="str">
        <x:f>IF(AND(B7="NON_UTILISE",C7="NON_UTILISE",D7="NON_UTILISE",E7="NON_UTILISE",F7="NON_UTILISE",G7="NON_UTILISE",H7="NON_UTILISE",I7="NON_UTILISE",J7="NON_UTILISE",K7="NON_UTILISE",L7="NON_UTILISE",M7="NON_UTILISE"),"NON_UTILISE",IF(OR(F7="NON",G7="ECHEC",H7="ECHEC",I7="ECHEC",J7="ECHEC",K7="ECHEC",L7="ECHEC"),"STOP",IF(AND(AND(LEN(TRIM(B7))&gt;=3,AND(IFERROR(SEARCH("FICTI",B7),0)=0,IFERROR(SEARCH("EXEMPLE",B7),0)=0,IFERROR(SEARCH("FIXTURE",B7),0)=0)),AND(LEN(TRIM(C7))&gt;=3,AND(IFERROR(SEARCH("FICTI",C7),0)=0,IFERROR(SEARCH("EXEMPLE",C7),0)=0,IFERROR(SEARCH("FIXTURE",C7),0)=0)),OR(D7="CORRIGER_STANDARDISER",D7="INTEGRER_AUTOMATISER",D7="ACHETER_CONFIGURER",D7="ETUDIER_SUR_MESURE"),E7="OUI",F7="OUI",G7="PASS",H7="PASS",I7="PASS",J7="PASS",K7="PASS",L7="VERIFIE",AND(LEN(TRIM(M7))&gt;=3,AND(IFERROR(SEARCH("FICTI",M7),0)=0,IFERROR(SEARCH("EXEMPLE",M7),0)=0,IFERROR(SEARCH("FIXTURE",M7),0)=0)),COUNTIF($B$6:$B$11,B7)=1,COUNTIF($C$6:$C$11,C7)=1,'06_TCO_12_36_60'!B7=B7,'06_TCO_12_36_60'!C7=C7),"PASS","INCOMPLET")))</x:f>
        <x:v>INCOMPLET</x:v>
      </x:c>
    </x:row>
    <x:row r="8" ht="76" customHeight="1">
      <x:c r="B8" s="23" t="str">
        <x:v>OPT-03</x:v>
      </x:c>
      <x:c r="C8" s="23" t="str">
        <x:v>Standard configuré</x:v>
      </x:c>
      <x:c r="D8" s="23" t="str">
        <x:v>ACHETER_CONFIGURER</x:v>
      </x:c>
      <x:c r="E8" s="23" t="str">
        <x:v>NON</x:v>
      </x:c>
      <x:c r="F8" s="23" t="str">
        <x:v>OUI</x:v>
      </x:c>
      <x:c r="G8" s="23" t="str">
        <x:v>PASS</x:v>
      </x:c>
      <x:c r="H8" s="23" t="str">
        <x:v>PASS</x:v>
      </x:c>
      <x:c r="I8" s="23" t="str">
        <x:v>ECHEC</x:v>
      </x:c>
      <x:c r="J8" s="23" t="str">
        <x:v>NON_TESTE</x:v>
      </x:c>
      <x:c r="K8" s="23" t="str">
        <x:v>PASS</x:v>
      </x:c>
      <x:c r="L8" s="23" t="str">
        <x:v>DECLARE</x:v>
      </x:c>
      <x:c r="M8" s="23" t="str">
        <x:v>Cas critique non rejoué</x:v>
      </x:c>
      <x:c r="N8" s="34" t="str">
        <x:f>IF(AND(B8="NON_UTILISE",C8="NON_UTILISE",D8="NON_UTILISE",E8="NON_UTILISE",F8="NON_UTILISE",G8="NON_UTILISE",H8="NON_UTILISE",I8="NON_UTILISE",J8="NON_UTILISE",K8="NON_UTILISE",L8="NON_UTILISE",M8="NON_UTILISE"),"NON_UTILISE",IF(OR(F8="NON",G8="ECHEC",H8="ECHEC",I8="ECHEC",J8="ECHEC",K8="ECHEC",L8="ECHEC"),"STOP",IF(AND(AND(LEN(TRIM(B8))&gt;=3,AND(IFERROR(SEARCH("FICTI",B8),0)=0,IFERROR(SEARCH("EXEMPLE",B8),0)=0,IFERROR(SEARCH("FIXTURE",B8),0)=0)),AND(LEN(TRIM(C8))&gt;=3,AND(IFERROR(SEARCH("FICTI",C8),0)=0,IFERROR(SEARCH("EXEMPLE",C8),0)=0,IFERROR(SEARCH("FIXTURE",C8),0)=0)),OR(D8="CORRIGER_STANDARDISER",D8="INTEGRER_AUTOMATISER",D8="ACHETER_CONFIGURER",D8="ETUDIER_SUR_MESURE"),E8="OUI",F8="OUI",G8="PASS",H8="PASS",I8="PASS",J8="PASS",K8="PASS",L8="VERIFIE",AND(LEN(TRIM(M8))&gt;=3,AND(IFERROR(SEARCH("FICTI",M8),0)=0,IFERROR(SEARCH("EXEMPLE",M8),0)=0,IFERROR(SEARCH("FIXTURE",M8),0)=0)),COUNTIF($B$6:$B$11,B8)=1,COUNTIF($C$6:$C$11,C8)=1,'06_TCO_12_36_60'!B8=B8,'06_TCO_12_36_60'!C8=C8),"PASS","INCOMPLET")))</x:f>
        <x:v>STOP</x:v>
      </x:c>
    </x:row>
    <x:row r="9" ht="76" customHeight="1">
      <x:c r="B9" s="23" t="str">
        <x:v>OPT-04</x:v>
      </x:c>
      <x:c r="C9" s="23" t="str">
        <x:v>Fonction sur mesure</x:v>
      </x:c>
      <x:c r="D9" s="23" t="str">
        <x:v>ETUDIER_SUR_MESURE</x:v>
      </x:c>
      <x:c r="E9" s="23" t="str">
        <x:v>NON</x:v>
      </x:c>
      <x:c r="F9" s="23" t="str">
        <x:v>OUI</x:v>
      </x:c>
      <x:c r="G9" s="23" t="str">
        <x:v>PASS</x:v>
      </x:c>
      <x:c r="H9" s="23" t="str">
        <x:v>PASS</x:v>
      </x:c>
      <x:c r="I9" s="23" t="str">
        <x:v>PASS</x:v>
      </x:c>
      <x:c r="J9" s="23" t="str">
        <x:v>PASS</x:v>
      </x:c>
      <x:c r="K9" s="23" t="str">
        <x:v>PASS</x:v>
      </x:c>
      <x:c r="L9" s="23" t="str">
        <x:v>VERIFIE</x:v>
      </x:c>
      <x:c r="M9" s="23" t="str">
        <x:v>Maintenance à financer</x:v>
      </x:c>
      <x:c r="N9" s="34" t="str">
        <x:f>IF(AND(B9="NON_UTILISE",C9="NON_UTILISE",D9="NON_UTILISE",E9="NON_UTILISE",F9="NON_UTILISE",G9="NON_UTILISE",H9="NON_UTILISE",I9="NON_UTILISE",J9="NON_UTILISE",K9="NON_UTILISE",L9="NON_UTILISE",M9="NON_UTILISE"),"NON_UTILISE",IF(OR(F9="NON",G9="ECHEC",H9="ECHEC",I9="ECHEC",J9="ECHEC",K9="ECHEC",L9="ECHEC"),"STOP",IF(AND(AND(LEN(TRIM(B9))&gt;=3,AND(IFERROR(SEARCH("FICTI",B9),0)=0,IFERROR(SEARCH("EXEMPLE",B9),0)=0,IFERROR(SEARCH("FIXTURE",B9),0)=0)),AND(LEN(TRIM(C9))&gt;=3,AND(IFERROR(SEARCH("FICTI",C9),0)=0,IFERROR(SEARCH("EXEMPLE",C9),0)=0,IFERROR(SEARCH("FIXTURE",C9),0)=0)),OR(D9="CORRIGER_STANDARDISER",D9="INTEGRER_AUTOMATISER",D9="ACHETER_CONFIGURER",D9="ETUDIER_SUR_MESURE"),E9="OUI",F9="OUI",G9="PASS",H9="PASS",I9="PASS",J9="PASS",K9="PASS",L9="VERIFIE",AND(LEN(TRIM(M9))&gt;=3,AND(IFERROR(SEARCH("FICTI",M9),0)=0,IFERROR(SEARCH("EXEMPLE",M9),0)=0,IFERROR(SEARCH("FIXTURE",M9),0)=0)),COUNTIF($B$6:$B$11,B9)=1,COUNTIF($C$6:$C$11,C9)=1,'06_TCO_12_36_60'!B9=B9,'06_TCO_12_36_60'!C9=C9),"PASS","INCOMPLET")))</x:f>
        <x:v>INCOMPLET</x:v>
      </x:c>
    </x:row>
    <x:row r="10" ht="76" customHeight="1">
      <x:c r="B10" s="23" t="str">
        <x:v>NON_UTILISE</x:v>
      </x:c>
      <x:c r="C10" s="23" t="str">
        <x:v>NON_UTILISE</x:v>
      </x:c>
      <x:c r="D10" s="23" t="str">
        <x:v>NON_UTILISE</x:v>
      </x:c>
      <x:c r="E10" s="23" t="str">
        <x:v>NON_UTILISE</x:v>
      </x:c>
      <x:c r="F10" s="23" t="str">
        <x:v>NON_UTILISE</x:v>
      </x:c>
      <x:c r="G10" s="23" t="str">
        <x:v>NON_UTILISE</x:v>
      </x:c>
      <x:c r="H10" s="23" t="str">
        <x:v>NON_UTILISE</x:v>
      </x:c>
      <x:c r="I10" s="23" t="str">
        <x:v>NON_UTILISE</x:v>
      </x:c>
      <x:c r="J10" s="23" t="str">
        <x:v>NON_UTILISE</x:v>
      </x:c>
      <x:c r="K10" s="23" t="str">
        <x:v>NON_UTILISE</x:v>
      </x:c>
      <x:c r="L10" s="23" t="str">
        <x:v>NON_UTILISE</x:v>
      </x:c>
      <x:c r="M10" s="23" t="str">
        <x:v>NON_UTILISE</x:v>
      </x:c>
      <x:c r="N10" s="34" t="str">
        <x:f>IF(AND(B10="NON_UTILISE",C10="NON_UTILISE",D10="NON_UTILISE",E10="NON_UTILISE",F10="NON_UTILISE",G10="NON_UTILISE",H10="NON_UTILISE",I10="NON_UTILISE",J10="NON_UTILISE",K10="NON_UTILISE",L10="NON_UTILISE",M10="NON_UTILISE"),"NON_UTILISE",IF(OR(F10="NON",G10="ECHEC",H10="ECHEC",I10="ECHEC",J10="ECHEC",K10="ECHEC",L10="ECHEC"),"STOP",IF(AND(AND(LEN(TRIM(B10))&gt;=3,AND(IFERROR(SEARCH("FICTI",B10),0)=0,IFERROR(SEARCH("EXEMPLE",B10),0)=0,IFERROR(SEARCH("FIXTURE",B10),0)=0)),AND(LEN(TRIM(C10))&gt;=3,AND(IFERROR(SEARCH("FICTI",C10),0)=0,IFERROR(SEARCH("EXEMPLE",C10),0)=0,IFERROR(SEARCH("FIXTURE",C10),0)=0)),OR(D10="CORRIGER_STANDARDISER",D10="INTEGRER_AUTOMATISER",D10="ACHETER_CONFIGURER",D10="ETUDIER_SUR_MESURE"),E10="OUI",F10="OUI",G10="PASS",H10="PASS",I10="PASS",J10="PASS",K10="PASS",L10="VERIFIE",AND(LEN(TRIM(M10))&gt;=3,AND(IFERROR(SEARCH("FICTI",M10),0)=0,IFERROR(SEARCH("EXEMPLE",M10),0)=0,IFERROR(SEARCH("FIXTURE",M10),0)=0)),COUNTIF($B$6:$B$11,B10)=1,COUNTIF($C$6:$C$11,C10)=1,'06_TCO_12_36_60'!B10=B10,'06_TCO_12_36_60'!C10=C10),"PASS","INCOMPLET")))</x:f>
        <x:v>NON_UTILISE</x:v>
      </x:c>
    </x:row>
    <x:row r="11" ht="76" customHeight="1">
      <x:c r="B11" s="24" t="str">
        <x:v>NON_UTILISE</x:v>
      </x:c>
      <x:c r="C11" s="24" t="str">
        <x:v>NON_UTILISE</x:v>
      </x:c>
      <x:c r="D11" s="24" t="str">
        <x:v>NON_UTILISE</x:v>
      </x:c>
      <x:c r="E11" s="24" t="str">
        <x:v>NON_UTILISE</x:v>
      </x:c>
      <x:c r="F11" s="24" t="str">
        <x:v>NON_UTILISE</x:v>
      </x:c>
      <x:c r="G11" s="24" t="str">
        <x:v>NON_UTILISE</x:v>
      </x:c>
      <x:c r="H11" s="24" t="str">
        <x:v>NON_UTILISE</x:v>
      </x:c>
      <x:c r="I11" s="24" t="str">
        <x:v>NON_UTILISE</x:v>
      </x:c>
      <x:c r="J11" s="24" t="str">
        <x:v>NON_UTILISE</x:v>
      </x:c>
      <x:c r="K11" s="24" t="str">
        <x:v>NON_UTILISE</x:v>
      </x:c>
      <x:c r="L11" s="24" t="str">
        <x:v>NON_UTILISE</x:v>
      </x:c>
      <x:c r="M11" s="24" t="str">
        <x:v>NON_UTILISE</x:v>
      </x:c>
      <x:c r="N11" s="36" t="str">
        <x:f>IF(AND(B11="NON_UTILISE",C11="NON_UTILISE",D11="NON_UTILISE",E11="NON_UTILISE",F11="NON_UTILISE",G11="NON_UTILISE",H11="NON_UTILISE",I11="NON_UTILISE",J11="NON_UTILISE",K11="NON_UTILISE",L11="NON_UTILISE",M11="NON_UTILISE"),"NON_UTILISE",IF(OR(F11="NON",G11="ECHEC",H11="ECHEC",I11="ECHEC",J11="ECHEC",K11="ECHEC",L11="ECHEC"),"STOP",IF(AND(AND(LEN(TRIM(B11))&gt;=3,AND(IFERROR(SEARCH("FICTI",B11),0)=0,IFERROR(SEARCH("EXEMPLE",B11),0)=0,IFERROR(SEARCH("FIXTURE",B11),0)=0)),AND(LEN(TRIM(C11))&gt;=3,AND(IFERROR(SEARCH("FICTI",C11),0)=0,IFERROR(SEARCH("EXEMPLE",C11),0)=0,IFERROR(SEARCH("FIXTURE",C11),0)=0)),OR(D11="CORRIGER_STANDARDISER",D11="INTEGRER_AUTOMATISER",D11="ACHETER_CONFIGURER",D11="ETUDIER_SUR_MESURE"),E11="OUI",F11="OUI",G11="PASS",H11="PASS",I11="PASS",J11="PASS",K11="PASS",L11="VERIFIE",AND(LEN(TRIM(M11))&gt;=3,AND(IFERROR(SEARCH("FICTI",M11),0)=0,IFERROR(SEARCH("EXEMPLE",M11),0)=0,IFERROR(SEARCH("FIXTURE",M11),0)=0)),COUNTIF($B$6:$B$11,B11)=1,COUNTIF($C$6:$C$11,C11)=1,'06_TCO_12_36_60'!B11=B11,'06_TCO_12_36_60'!C11=C11),"PASS","INCOMPLET")))</x:f>
        <x:v>NON_UTILISE</x:v>
      </x:c>
    </x:row>
  </x:sheetData>
  <x:mergeCells>
    <x:mergeCell ref="A1:N2"/>
    <x:mergeCell ref="A3:N3"/>
  </x:mergeCells>
  <x:conditionalFormatting sqref="G6:N11">
    <x:cfRule type="containsText" dxfId="20" priority="1" operator="containsText" text="STOP"/>
    <x:cfRule type="containsText" dxfId="21" priority="2" operator="containsText" text="BLOQUE"/>
    <x:cfRule type="containsText" dxfId="22" priority="3" operator="containsText" text="INCOMPLET"/>
    <x:cfRule type="containsText" dxfId="23" priority="4" operator="containsText" text="PASS"/>
  </x:conditionalFormatting>
  <x:dataValidations count="4">
    <x:dataValidation type="list" sqref="D6:D11">
      <x:formula1>"CORRIGER_STANDARDISER,INTEGRER_AUTOMATISER,ACHETER_CONFIGURER,ETUDIER_SUR_MESURE,NON_UTILISE"</x:formula1>
    </x:dataValidation>
    <x:dataValidation type="list" sqref="E6:F11">
      <x:formula1>"NON_UTILISE,ND,OUI,NON"</x:formula1>
    </x:dataValidation>
    <x:dataValidation type="list" sqref="G6:K11">
      <x:formula1>"NON_UTILISE,ND,NON_TESTE,PASS,ECHEC"</x:formula1>
    </x:dataValidation>
    <x:dataValidation type="list" sqref="L6:L11">
      <x:formula1>"NON_UTILISE,ND,DECLARE,VERIFIE,ECHEC"</x:formula1>
    </x:dataValidation>
  </x:dataValidations>
  <x:pageMargins left="0.7" right="0.7" top="0.75" bottom="0.75" header="0.3" footer="0.3"/>
  <x:tableParts count="1">
    <x:tablePart xmlns:r="http://schemas.openxmlformats.org/officeDocument/2006/relationships" r:id="R26c1f499559f4070"/>
  </x:tableParts>
</x:worksheet>
</file>

<file path=xl/worksheets/sheet7.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17" hidden="0" customWidth="1"/>
    <x:col min="3" max="3" width="27" hidden="0" customWidth="1"/>
    <x:col min="4" max="4" width="18" hidden="0" customWidth="1"/>
    <x:col min="5" max="5" width="18" hidden="0" customWidth="1"/>
    <x:col min="6" max="6" width="18" hidden="0" customWidth="1"/>
    <x:col min="7" max="7" width="17" hidden="0" customWidth="1"/>
    <x:col min="8" max="8" width="17" hidden="0" customWidth="1"/>
    <x:col min="9" max="9" width="18" hidden="0" customWidth="1"/>
    <x:col min="10" max="10" width="18" hidden="0" customWidth="1"/>
    <x:col min="11" max="11" width="18" hidden="0" customWidth="1"/>
  </x:cols>
  <x:sheetData>
    <x:row r="1" ht="28" customHeight="1">
      <x:c r="A1" s="4" t="str">
        <x:v>06 TCO 12 36 60</x:v>
      </x:c>
      <x:c r="B1" s="4"/>
      <x:c r="C1" s="4"/>
      <x:c r="D1" s="4"/>
      <x:c r="E1" s="4"/>
      <x:c r="F1" s="4"/>
      <x:c r="G1" s="4"/>
      <x:c r="H1" s="4"/>
      <x:c r="I1" s="4"/>
      <x:c r="J1" s="4"/>
      <x:c r="K1" s="4"/>
    </x:row>
    <x:row r="2" ht="28" customHeight="1">
      <x:c r="A2" s="4"/>
      <x:c r="B2" s="4"/>
      <x:c r="C2" s="4"/>
      <x:c r="D2" s="4"/>
      <x:c r="E2" s="4"/>
      <x:c r="F2" s="4"/>
      <x:c r="G2" s="4"/>
      <x:c r="H2" s="4"/>
      <x:c r="I2" s="4"/>
      <x:c r="J2" s="4"/>
      <x:c r="K2" s="4"/>
    </x:row>
    <x:row r="3" ht="32" customHeight="1">
      <x:c r="A3" s="8" t="str">
        <x:v>Coût complet sans classement automatique — EXEMPLE FICTIF — arrêté 2026-07-28</x:v>
      </x:c>
      <x:c r="B3" s="8"/>
      <x:c r="C3" s="8"/>
      <x:c r="D3" s="8"/>
      <x:c r="E3" s="8"/>
      <x:c r="F3" s="8"/>
      <x:c r="G3" s="8"/>
      <x:c r="H3" s="8"/>
      <x:c r="I3" s="8"/>
      <x:c r="J3" s="8"/>
      <x:c r="K3" s="8"/>
    </x:row>
    <x:row r="5" ht="34" customHeight="1">
      <x:c r="B5" s="13" t="str">
        <x:v>ID</x:v>
      </x:c>
      <x:c r="C5" s="13" t="str">
        <x:v>Option</x:v>
      </x:c>
      <x:c r="D5" s="13" t="str">
        <x:v>Mise en place (€)</x:v>
      </x:c>
      <x:c r="E5" s="13" t="str">
        <x:v>Fonctionnement / mois (€)</x:v>
      </x:c>
      <x:c r="F5" s="13" t="str">
        <x:v>Sortie (€)</x:v>
      </x:c>
      <x:c r="G5" s="13" t="str">
        <x:v>Même périmètre</x:v>
      </x:c>
      <x:c r="H5" s="13" t="str">
        <x:v>Cas critiques rejoués</x:v>
      </x:c>
      <x:c r="I5" s="13" t="str">
        <x:v>TCO 12 mois</x:v>
      </x:c>
      <x:c r="J5" s="13" t="str">
        <x:v>TCO 36 mois</x:v>
      </x:c>
      <x:c r="K5" s="13" t="str">
        <x:v>TCO 60 mois</x:v>
      </x:c>
    </x:row>
    <x:row r="6" ht="62" customHeight="1">
      <x:c r="B6" s="23" t="str">
        <x:v>OPT-01</x:v>
      </x:c>
      <x:c r="C6" s="23" t="str">
        <x:v>Corriger l’existant</x:v>
      </x:c>
      <x:c r="D6" s="41" t="n">
        <x:v>4800</x:v>
      </x:c>
      <x:c r="E6" s="41" t="n">
        <x:v>320</x:v>
      </x:c>
      <x:c r="F6" s="41" t="n">
        <x:v>1000</x:v>
      </x:c>
      <x:c r="G6" s="23" t="str">
        <x:v>OUI</x:v>
      </x:c>
      <x:c r="H6" s="23" t="str">
        <x:v>OUI</x:v>
      </x:c>
      <x:c r="I6" s="43" t="n">
        <x:f>IF(AND(B6="NON_UTILISE",C6="NON_UTILISE",COUNT(D6:F6)=0,G6="NON_UTILISE",H6="NON_UTILISE"),"NON_UTILISE",IF(COUNT(D6:F6)&lt;&gt;3,"ND",IF(AND(B6='05_OPTIONS_TESTS'!B6,C6='05_OPTIONS_TESTS'!C6,'05_OPTIONS_TESTS'!B6&lt;&gt;"NON_UTILISE",D6&gt;=0,E6&gt;=0,F6&gt;=0,D6&lt;=10000000000,E6&lt;=10000000000,F6&lt;=10000000000,ROUND(D6,4)=D6,ROUND(E6,4)=E6,ROUND(F6,4)=F6,G6="OUI",H6="OUI"),ROUND(D6+E6*12+F6,2),"ND")))</x:f>
        <x:v>9640</x:v>
      </x:c>
      <x:c r="J6" s="43" t="n">
        <x:f>IF(AND(B6="NON_UTILISE",C6="NON_UTILISE",COUNT(D6:F6)=0,G6="NON_UTILISE",H6="NON_UTILISE"),"NON_UTILISE",IF(COUNT(D6:F6)&lt;&gt;3,"ND",IF(AND(B6='05_OPTIONS_TESTS'!B6,C6='05_OPTIONS_TESTS'!C6,'05_OPTIONS_TESTS'!B6&lt;&gt;"NON_UTILISE",D6&gt;=0,E6&gt;=0,F6&gt;=0,D6&lt;=10000000000,E6&lt;=10000000000,F6&lt;=10000000000,ROUND(D6,4)=D6,ROUND(E6,4)=E6,ROUND(F6,4)=F6,G6="OUI",H6="OUI"),ROUND(D6+E6*36+F6,2),"ND")))</x:f>
        <x:v>17320</x:v>
      </x:c>
      <x:c r="K6" s="43" t="n">
        <x:f>IF(AND(B6="NON_UTILISE",C6="NON_UTILISE",COUNT(D6:F6)=0,G6="NON_UTILISE",H6="NON_UTILISE"),"NON_UTILISE",IF(COUNT(D6:F6)&lt;&gt;3,"ND",IF(AND(B6='05_OPTIONS_TESTS'!B6,C6='05_OPTIONS_TESTS'!C6,'05_OPTIONS_TESTS'!B6&lt;&gt;"NON_UTILISE",D6&gt;=0,E6&gt;=0,F6&gt;=0,D6&lt;=10000000000,E6&lt;=10000000000,F6&lt;=10000000000,ROUND(D6,4)=D6,ROUND(E6,4)=E6,ROUND(F6,4)=F6,G6="OUI",H6="OUI"),ROUND(D6+E6*60+F6,2),"ND")))</x:f>
        <x:v>25000</x:v>
      </x:c>
    </x:row>
    <x:row r="7" ht="62" customHeight="1">
      <x:c r="B7" s="23" t="str">
        <x:v>OPT-02</x:v>
      </x:c>
      <x:c r="C7" s="23" t="str">
        <x:v>Connecter CRM et planning</x:v>
      </x:c>
      <x:c r="D7" s="41" t="n">
        <x:v>14000</x:v>
      </x:c>
      <x:c r="E7" s="41" t="n">
        <x:v>760</x:v>
      </x:c>
      <x:c r="F7" s="41" t="n">
        <x:v>4000</x:v>
      </x:c>
      <x:c r="G7" s="23" t="str">
        <x:v>OUI</x:v>
      </x:c>
      <x:c r="H7" s="23" t="str">
        <x:v>OUI</x:v>
      </x:c>
      <x:c r="I7" s="43" t="n">
        <x:f>IF(AND(B7="NON_UTILISE",C7="NON_UTILISE",COUNT(D7:F7)=0,G7="NON_UTILISE",H7="NON_UTILISE"),"NON_UTILISE",IF(COUNT(D7:F7)&lt;&gt;3,"ND",IF(AND(B7='05_OPTIONS_TESTS'!B7,C7='05_OPTIONS_TESTS'!C7,'05_OPTIONS_TESTS'!B7&lt;&gt;"NON_UTILISE",D7&gt;=0,E7&gt;=0,F7&gt;=0,D7&lt;=10000000000,E7&lt;=10000000000,F7&lt;=10000000000,ROUND(D7,4)=D7,ROUND(E7,4)=E7,ROUND(F7,4)=F7,G7="OUI",H7="OUI"),ROUND(D7+E7*12+F7,2),"ND")))</x:f>
        <x:v>27120</x:v>
      </x:c>
      <x:c r="J7" s="43" t="n">
        <x:f>IF(AND(B7="NON_UTILISE",C7="NON_UTILISE",COUNT(D7:F7)=0,G7="NON_UTILISE",H7="NON_UTILISE"),"NON_UTILISE",IF(COUNT(D7:F7)&lt;&gt;3,"ND",IF(AND(B7='05_OPTIONS_TESTS'!B7,C7='05_OPTIONS_TESTS'!C7,'05_OPTIONS_TESTS'!B7&lt;&gt;"NON_UTILISE",D7&gt;=0,E7&gt;=0,F7&gt;=0,D7&lt;=10000000000,E7&lt;=10000000000,F7&lt;=10000000000,ROUND(D7,4)=D7,ROUND(E7,4)=E7,ROUND(F7,4)=F7,G7="OUI",H7="OUI"),ROUND(D7+E7*36+F7,2),"ND")))</x:f>
        <x:v>45360</x:v>
      </x:c>
      <x:c r="K7" s="43" t="n">
        <x:f>IF(AND(B7="NON_UTILISE",C7="NON_UTILISE",COUNT(D7:F7)=0,G7="NON_UTILISE",H7="NON_UTILISE"),"NON_UTILISE",IF(COUNT(D7:F7)&lt;&gt;3,"ND",IF(AND(B7='05_OPTIONS_TESTS'!B7,C7='05_OPTIONS_TESTS'!C7,'05_OPTIONS_TESTS'!B7&lt;&gt;"NON_UTILISE",D7&gt;=0,E7&gt;=0,F7&gt;=0,D7&lt;=10000000000,E7&lt;=10000000000,F7&lt;=10000000000,ROUND(D7,4)=D7,ROUND(E7,4)=E7,ROUND(F7,4)=F7,G7="OUI",H7="OUI"),ROUND(D7+E7*60+F7,2),"ND")))</x:f>
        <x:v>63600</x:v>
      </x:c>
    </x:row>
    <x:row r="8" ht="62" customHeight="1">
      <x:c r="B8" s="23" t="str">
        <x:v>OPT-03</x:v>
      </x:c>
      <x:c r="C8" s="23" t="str">
        <x:v>Standard configuré</x:v>
      </x:c>
      <x:c r="D8" s="41" t="n">
        <x:v>31000</x:v>
      </x:c>
      <x:c r="E8" s="41" t="n">
        <x:v>1450</x:v>
      </x:c>
      <x:c r="F8" s="41"/>
      <x:c r="G8" s="23" t="str">
        <x:v>OUI</x:v>
      </x:c>
      <x:c r="H8" s="23" t="str">
        <x:v>NON</x:v>
      </x:c>
      <x:c r="I8" s="43" t="str">
        <x:f>IF(AND(B8="NON_UTILISE",C8="NON_UTILISE",COUNT(D8:F8)=0,G8="NON_UTILISE",H8="NON_UTILISE"),"NON_UTILISE",IF(COUNT(D8:F8)&lt;&gt;3,"ND",IF(AND(B8='05_OPTIONS_TESTS'!B8,C8='05_OPTIONS_TESTS'!C8,'05_OPTIONS_TESTS'!B8&lt;&gt;"NON_UTILISE",D8&gt;=0,E8&gt;=0,F8&gt;=0,D8&lt;=10000000000,E8&lt;=10000000000,F8&lt;=10000000000,ROUND(D8,4)=D8,ROUND(E8,4)=E8,ROUND(F8,4)=F8,G8="OUI",H8="OUI"),ROUND(D8+E8*12+F8,2),"ND")))</x:f>
        <x:v>ND</x:v>
      </x:c>
      <x:c r="J8" s="43" t="str">
        <x:f>IF(AND(B8="NON_UTILISE",C8="NON_UTILISE",COUNT(D8:F8)=0,G8="NON_UTILISE",H8="NON_UTILISE"),"NON_UTILISE",IF(COUNT(D8:F8)&lt;&gt;3,"ND",IF(AND(B8='05_OPTIONS_TESTS'!B8,C8='05_OPTIONS_TESTS'!C8,'05_OPTIONS_TESTS'!B8&lt;&gt;"NON_UTILISE",D8&gt;=0,E8&gt;=0,F8&gt;=0,D8&lt;=10000000000,E8&lt;=10000000000,F8&lt;=10000000000,ROUND(D8,4)=D8,ROUND(E8,4)=E8,ROUND(F8,4)=F8,G8="OUI",H8="OUI"),ROUND(D8+E8*36+F8,2),"ND")))</x:f>
        <x:v>ND</x:v>
      </x:c>
      <x:c r="K8" s="43" t="str">
        <x:f>IF(AND(B8="NON_UTILISE",C8="NON_UTILISE",COUNT(D8:F8)=0,G8="NON_UTILISE",H8="NON_UTILISE"),"NON_UTILISE",IF(COUNT(D8:F8)&lt;&gt;3,"ND",IF(AND(B8='05_OPTIONS_TESTS'!B8,C8='05_OPTIONS_TESTS'!C8,'05_OPTIONS_TESTS'!B8&lt;&gt;"NON_UTILISE",D8&gt;=0,E8&gt;=0,F8&gt;=0,D8&lt;=10000000000,E8&lt;=10000000000,F8&lt;=10000000000,ROUND(D8,4)=D8,ROUND(E8,4)=E8,ROUND(F8,4)=F8,G8="OUI",H8="OUI"),ROUND(D8+E8*60+F8,2),"ND")))</x:f>
        <x:v>ND</x:v>
      </x:c>
    </x:row>
    <x:row r="9" ht="62" customHeight="1">
      <x:c r="B9" s="23" t="str">
        <x:v>OPT-04</x:v>
      </x:c>
      <x:c r="C9" s="23" t="str">
        <x:v>Fonction sur mesure</x:v>
      </x:c>
      <x:c r="D9" s="41" t="n">
        <x:v>78000</x:v>
      </x:c>
      <x:c r="E9" s="41" t="n">
        <x:v>2100</x:v>
      </x:c>
      <x:c r="F9" s="41" t="n">
        <x:v>12000</x:v>
      </x:c>
      <x:c r="G9" s="23" t="str">
        <x:v>OUI</x:v>
      </x:c>
      <x:c r="H9" s="23" t="str">
        <x:v>OUI</x:v>
      </x:c>
      <x:c r="I9" s="43" t="n">
        <x:f>IF(AND(B9="NON_UTILISE",C9="NON_UTILISE",COUNT(D9:F9)=0,G9="NON_UTILISE",H9="NON_UTILISE"),"NON_UTILISE",IF(COUNT(D9:F9)&lt;&gt;3,"ND",IF(AND(B9='05_OPTIONS_TESTS'!B9,C9='05_OPTIONS_TESTS'!C9,'05_OPTIONS_TESTS'!B9&lt;&gt;"NON_UTILISE",D9&gt;=0,E9&gt;=0,F9&gt;=0,D9&lt;=10000000000,E9&lt;=10000000000,F9&lt;=10000000000,ROUND(D9,4)=D9,ROUND(E9,4)=E9,ROUND(F9,4)=F9,G9="OUI",H9="OUI"),ROUND(D9+E9*12+F9,2),"ND")))</x:f>
        <x:v>115200</x:v>
      </x:c>
      <x:c r="J9" s="43" t="n">
        <x:f>IF(AND(B9="NON_UTILISE",C9="NON_UTILISE",COUNT(D9:F9)=0,G9="NON_UTILISE",H9="NON_UTILISE"),"NON_UTILISE",IF(COUNT(D9:F9)&lt;&gt;3,"ND",IF(AND(B9='05_OPTIONS_TESTS'!B9,C9='05_OPTIONS_TESTS'!C9,'05_OPTIONS_TESTS'!B9&lt;&gt;"NON_UTILISE",D9&gt;=0,E9&gt;=0,F9&gt;=0,D9&lt;=10000000000,E9&lt;=10000000000,F9&lt;=10000000000,ROUND(D9,4)=D9,ROUND(E9,4)=E9,ROUND(F9,4)=F9,G9="OUI",H9="OUI"),ROUND(D9+E9*36+F9,2),"ND")))</x:f>
        <x:v>165600</x:v>
      </x:c>
      <x:c r="K9" s="43" t="n">
        <x:f>IF(AND(B9="NON_UTILISE",C9="NON_UTILISE",COUNT(D9:F9)=0,G9="NON_UTILISE",H9="NON_UTILISE"),"NON_UTILISE",IF(COUNT(D9:F9)&lt;&gt;3,"ND",IF(AND(B9='05_OPTIONS_TESTS'!B9,C9='05_OPTIONS_TESTS'!C9,'05_OPTIONS_TESTS'!B9&lt;&gt;"NON_UTILISE",D9&gt;=0,E9&gt;=0,F9&gt;=0,D9&lt;=10000000000,E9&lt;=10000000000,F9&lt;=10000000000,ROUND(D9,4)=D9,ROUND(E9,4)=E9,ROUND(F9,4)=F9,G9="OUI",H9="OUI"),ROUND(D9+E9*60+F9,2),"ND")))</x:f>
        <x:v>216000</x:v>
      </x:c>
    </x:row>
    <x:row r="10" ht="62" customHeight="1">
      <x:c r="B10" s="23" t="str">
        <x:v>NON_UTILISE</x:v>
      </x:c>
      <x:c r="C10" s="23" t="str">
        <x:v>NON_UTILISE</x:v>
      </x:c>
      <x:c r="D10" s="41"/>
      <x:c r="E10" s="41"/>
      <x:c r="F10" s="41"/>
      <x:c r="G10" s="23" t="str">
        <x:v>NON_UTILISE</x:v>
      </x:c>
      <x:c r="H10" s="23" t="str">
        <x:v>NON_UTILISE</x:v>
      </x:c>
      <x:c r="I10" s="43" t="str">
        <x:f>IF(AND(B10="NON_UTILISE",C10="NON_UTILISE",COUNT(D10:F10)=0,G10="NON_UTILISE",H10="NON_UTILISE"),"NON_UTILISE",IF(COUNT(D10:F10)&lt;&gt;3,"ND",IF(AND(B10='05_OPTIONS_TESTS'!B10,C10='05_OPTIONS_TESTS'!C10,'05_OPTIONS_TESTS'!B10&lt;&gt;"NON_UTILISE",D10&gt;=0,E10&gt;=0,F10&gt;=0,D10&lt;=10000000000,E10&lt;=10000000000,F10&lt;=10000000000,ROUND(D10,4)=D10,ROUND(E10,4)=E10,ROUND(F10,4)=F10,G10="OUI",H10="OUI"),ROUND(D10+E10*12+F10,2),"ND")))</x:f>
        <x:v>NON_UTILISE</x:v>
      </x:c>
      <x:c r="J10" s="43" t="str">
        <x:f>IF(AND(B10="NON_UTILISE",C10="NON_UTILISE",COUNT(D10:F10)=0,G10="NON_UTILISE",H10="NON_UTILISE"),"NON_UTILISE",IF(COUNT(D10:F10)&lt;&gt;3,"ND",IF(AND(B10='05_OPTIONS_TESTS'!B10,C10='05_OPTIONS_TESTS'!C10,'05_OPTIONS_TESTS'!B10&lt;&gt;"NON_UTILISE",D10&gt;=0,E10&gt;=0,F10&gt;=0,D10&lt;=10000000000,E10&lt;=10000000000,F10&lt;=10000000000,ROUND(D10,4)=D10,ROUND(E10,4)=E10,ROUND(F10,4)=F10,G10="OUI",H10="OUI"),ROUND(D10+E10*36+F10,2),"ND")))</x:f>
        <x:v>NON_UTILISE</x:v>
      </x:c>
      <x:c r="K10" s="43" t="str">
        <x:f>IF(AND(B10="NON_UTILISE",C10="NON_UTILISE",COUNT(D10:F10)=0,G10="NON_UTILISE",H10="NON_UTILISE"),"NON_UTILISE",IF(COUNT(D10:F10)&lt;&gt;3,"ND",IF(AND(B10='05_OPTIONS_TESTS'!B10,C10='05_OPTIONS_TESTS'!C10,'05_OPTIONS_TESTS'!B10&lt;&gt;"NON_UTILISE",D10&gt;=0,E10&gt;=0,F10&gt;=0,D10&lt;=10000000000,E10&lt;=10000000000,F10&lt;=10000000000,ROUND(D10,4)=D10,ROUND(E10,4)=E10,ROUND(F10,4)=F10,G10="OUI",H10="OUI"),ROUND(D10+E10*60+F10,2),"ND")))</x:f>
        <x:v>NON_UTILISE</x:v>
      </x:c>
    </x:row>
    <x:row r="11" ht="62" customHeight="1">
      <x:c r="B11" s="24" t="str">
        <x:v>NON_UTILISE</x:v>
      </x:c>
      <x:c r="C11" s="24" t="str">
        <x:v>NON_UTILISE</x:v>
      </x:c>
      <x:c r="D11" s="42"/>
      <x:c r="E11" s="42"/>
      <x:c r="F11" s="42"/>
      <x:c r="G11" s="24" t="str">
        <x:v>NON_UTILISE</x:v>
      </x:c>
      <x:c r="H11" s="24" t="str">
        <x:v>NON_UTILISE</x:v>
      </x:c>
      <x:c r="I11" s="44" t="str">
        <x:f>IF(AND(B11="NON_UTILISE",C11="NON_UTILISE",COUNT(D11:F11)=0,G11="NON_UTILISE",H11="NON_UTILISE"),"NON_UTILISE",IF(COUNT(D11:F11)&lt;&gt;3,"ND",IF(AND(B11='05_OPTIONS_TESTS'!B11,C11='05_OPTIONS_TESTS'!C11,'05_OPTIONS_TESTS'!B11&lt;&gt;"NON_UTILISE",D11&gt;=0,E11&gt;=0,F11&gt;=0,D11&lt;=10000000000,E11&lt;=10000000000,F11&lt;=10000000000,ROUND(D11,4)=D11,ROUND(E11,4)=E11,ROUND(F11,4)=F11,G11="OUI",H11="OUI"),ROUND(D11+E11*12+F11,2),"ND")))</x:f>
        <x:v>NON_UTILISE</x:v>
      </x:c>
      <x:c r="J11" s="44" t="str">
        <x:f>IF(AND(B11="NON_UTILISE",C11="NON_UTILISE",COUNT(D11:F11)=0,G11="NON_UTILISE",H11="NON_UTILISE"),"NON_UTILISE",IF(COUNT(D11:F11)&lt;&gt;3,"ND",IF(AND(B11='05_OPTIONS_TESTS'!B11,C11='05_OPTIONS_TESTS'!C11,'05_OPTIONS_TESTS'!B11&lt;&gt;"NON_UTILISE",D11&gt;=0,E11&gt;=0,F11&gt;=0,D11&lt;=10000000000,E11&lt;=10000000000,F11&lt;=10000000000,ROUND(D11,4)=D11,ROUND(E11,4)=E11,ROUND(F11,4)=F11,G11="OUI",H11="OUI"),ROUND(D11+E11*36+F11,2),"ND")))</x:f>
        <x:v>NON_UTILISE</x:v>
      </x:c>
      <x:c r="K11" s="44" t="str">
        <x:f>IF(AND(B11="NON_UTILISE",C11="NON_UTILISE",COUNT(D11:F11)=0,G11="NON_UTILISE",H11="NON_UTILISE"),"NON_UTILISE",IF(COUNT(D11:F11)&lt;&gt;3,"ND",IF(AND(B11='05_OPTIONS_TESTS'!B11,C11='05_OPTIONS_TESTS'!C11,'05_OPTIONS_TESTS'!B11&lt;&gt;"NON_UTILISE",D11&gt;=0,E11&gt;=0,F11&gt;=0,D11&lt;=10000000000,E11&lt;=10000000000,F11&lt;=10000000000,ROUND(D11,4)=D11,ROUND(E11,4)=E11,ROUND(F11,4)=F11,G11="OUI",H11="OUI"),ROUND(D11+E11*60+F11,2),"ND")))</x:f>
        <x:v>NON_UTILISE</x:v>
      </x:c>
    </x:row>
  </x:sheetData>
  <x:mergeCells>
    <x:mergeCell ref="A1:K2"/>
    <x:mergeCell ref="A3:K3"/>
  </x:mergeCells>
  <x:conditionalFormatting sqref="I6:K11">
    <x:cfRule type="containsText" dxfId="24" priority="1" operator="containsText" text="STOP"/>
    <x:cfRule type="containsText" dxfId="25" priority="2" operator="containsText" text="BLOQUE"/>
    <x:cfRule type="containsText" dxfId="26" priority="3" operator="containsText" text="INCOMPLET"/>
    <x:cfRule type="containsText" dxfId="27" priority="4" operator="containsText" text="PASS"/>
  </x:conditionalFormatting>
  <x:dataValidations count="1">
    <x:dataValidation type="list" sqref="G6:H11">
      <x:formula1>"NON_UTILISE,ND,OUI,NON"</x:formula1>
    </x:dataValidation>
  </x:dataValidations>
  <x:pageMargins left="0.7" right="0.7" top="0.75" bottom="0.75" header="0.3" footer="0.3"/>
  <x:tableParts count="1">
    <x:tablePart xmlns:r="http://schemas.openxmlformats.org/officeDocument/2006/relationships" r:id="Rfef4dcd7fe584d46"/>
  </x:tableParts>
</x:worksheet>
</file>

<file path=xl/worksheets/sheet8.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28" hidden="0" customWidth="1"/>
    <x:col min="3" max="3" width="18" hidden="0" customWidth="1"/>
    <x:col min="4" max="4" width="28" hidden="0" customWidth="1"/>
    <x:col min="5" max="5" width="28" hidden="0" customWidth="1"/>
    <x:col min="6" max="6" width="20" hidden="0" customWidth="1"/>
    <x:col min="7" max="7" width="18" hidden="0" customWidth="1"/>
    <x:col min="8" max="8" width="3" hidden="0" customWidth="1"/>
  </x:cols>
  <x:sheetData>
    <x:row r="1" ht="28" customHeight="1">
      <x:c r="A1" s="4" t="str">
        <x:v>07 RISQUES STOP</x:v>
      </x:c>
      <x:c r="B1" s="4"/>
      <x:c r="C1" s="4"/>
      <x:c r="D1" s="4"/>
      <x:c r="E1" s="4"/>
      <x:c r="F1" s="4"/>
      <x:c r="G1" s="4"/>
      <x:c r="H1" s="4"/>
    </x:row>
    <x:row r="2" ht="28" customHeight="1">
      <x:c r="A2" s="4"/>
      <x:c r="B2" s="4"/>
      <x:c r="C2" s="4"/>
      <x:c r="D2" s="4"/>
      <x:c r="E2" s="4"/>
      <x:c r="F2" s="4"/>
      <x:c r="G2" s="4"/>
      <x:c r="H2" s="4"/>
    </x:row>
    <x:row r="3" ht="32" customHeight="1">
      <x:c r="A3" s="8" t="str">
        <x:v>Incident, restauration, privilèges et mode dégradé — EXEMPLE FICTIF — arrêté 2026-07-28</x:v>
      </x:c>
      <x:c r="B3" s="8"/>
      <x:c r="C3" s="8"/>
      <x:c r="D3" s="8"/>
      <x:c r="E3" s="8"/>
      <x:c r="F3" s="8"/>
      <x:c r="G3" s="8"/>
      <x:c r="H3" s="8"/>
    </x:row>
    <x:row r="5" ht="34" customHeight="1">
      <x:c r="B5" s="13" t="str">
        <x:v>Porte</x:v>
      </x:c>
      <x:c r="C5" s="13" t="str">
        <x:v>Valeur</x:v>
      </x:c>
      <x:c r="D5" s="13" t="str">
        <x:v>Preuve attendue</x:v>
      </x:c>
      <x:c r="E5" s="13" t="str">
        <x:v>Action si échec</x:v>
      </x:c>
      <x:c r="F5" s="13" t="str">
        <x:v>Responsable</x:v>
      </x:c>
      <x:c r="G5" s="13" t="str">
        <x:v>Statut</x:v>
      </x:c>
    </x:row>
    <x:row r="6" ht="66" customHeight="1">
      <x:c r="B6" s="23" t="str">
        <x:v>Incident / exposition active</x:v>
      </x:c>
      <x:c r="C6" s="23" t="str">
        <x:v>NON</x:v>
      </x:c>
      <x:c r="D6" s="23" t="str">
        <x:v>Qualification spécialisée</x:v>
      </x:c>
      <x:c r="E6" s="23" t="str">
        <x:v>Réponse à incident</x:v>
      </x:c>
      <x:c r="F6" s="23" t="str">
        <x:v>Direction / sécurité</x:v>
      </x:c>
      <x:c r="G6" s="34" t="str">
        <x:f>IF(C6="OUI","STOP",IF(C6="NON","PASS","INCOMPLET"))</x:f>
        <x:v>PASS</x:v>
      </x:c>
    </x:row>
    <x:row r="7" ht="66" customHeight="1">
      <x:c r="B7" s="23" t="str">
        <x:v>Restauration utile prouvée</x:v>
      </x:c>
      <x:c r="C7" s="23" t="str">
        <x:v>OUI</x:v>
      </x:c>
      <x:c r="D7" s="23" t="str">
        <x:v>PV de restauration</x:v>
      </x:c>
      <x:c r="E7" s="23" t="str">
        <x:v>Restaurer et exercer</x:v>
      </x:c>
      <x:c r="F7" s="23" t="str">
        <x:v>Exploitation</x:v>
      </x:c>
      <x:c r="G7" s="34" t="str">
        <x:f>IF(C7="NON","STOP",IF(C7="OUI","PASS","INCOMPLET"))</x:f>
        <x:v>PASS</x:v>
      </x:c>
    </x:row>
    <x:row r="8" ht="66" customHeight="1">
      <x:c r="B8" s="23" t="str">
        <x:v>Accès privilégiés maîtrisés</x:v>
      </x:c>
      <x:c r="C8" s="23" t="str">
        <x:v>OUI</x:v>
      </x:c>
      <x:c r="D8" s="23" t="str">
        <x:v>Revue + départ exercé</x:v>
      </x:c>
      <x:c r="E8" s="23" t="str">
        <x:v>Révoquer et nommer</x:v>
      </x:c>
      <x:c r="F8" s="23" t="str">
        <x:v>Responsable accès</x:v>
      </x:c>
      <x:c r="G8" s="34" t="str">
        <x:f>IF(C8="NON","STOP",IF(C8="OUI","PASS","INCOMPLET"))</x:f>
        <x:v>PASS</x:v>
      </x:c>
    </x:row>
    <x:row r="9" ht="66" customHeight="1">
      <x:c r="B9" s="24" t="str">
        <x:v>Mode dégradé critique testé</x:v>
      </x:c>
      <x:c r="C9" s="24" t="str">
        <x:v>OUI</x:v>
      </x:c>
      <x:c r="D9" s="24" t="str">
        <x:v>Exercice chronométré</x:v>
      </x:c>
      <x:c r="E9" s="24" t="str">
        <x:v>Préparer le secours</x:v>
      </x:c>
      <x:c r="F9" s="24" t="str">
        <x:v>Responsable métier</x:v>
      </x:c>
      <x:c r="G9" s="35" t="str">
        <x:f>IF(C9="NON","STOP",IF(C9="OUI","PASS","INCOMPLET"))</x:f>
        <x:v>PASS</x:v>
      </x:c>
    </x:row>
    <x:row r="10">
      <x:c r="G10" s="46"/>
    </x:row>
    <x:row r="11" ht="46" customHeight="1">
      <x:c r="B11" s="21" t="str">
        <x:v>PORTE GLOBALE</x:v>
      </x:c>
      <x:c r="C11" s="21" t="str"/>
      <x:c r="D11" s="21" t="str"/>
      <x:c r="E11" s="21" t="str"/>
      <x:c r="F11" s="21" t="str"/>
      <x:c r="G11" s="36" t="str">
        <x:f>IF(COUNTIF(G6:G9,"STOP")&gt;0,"STOP",IF(COUNTIF(G6:G9,"INCOMPLET")&gt;0,"INCOMPLET","PASS"))</x:f>
        <x:v>PASS</x:v>
      </x:c>
    </x:row>
  </x:sheetData>
  <x:mergeCells>
    <x:mergeCell ref="A1:H2"/>
    <x:mergeCell ref="A3:H3"/>
  </x:mergeCells>
  <x:conditionalFormatting sqref="G6:G11">
    <x:cfRule type="containsText" dxfId="28" priority="1" operator="containsText" text="STOP"/>
    <x:cfRule type="containsText" dxfId="29" priority="2" operator="containsText" text="BLOQUE"/>
    <x:cfRule type="containsText" dxfId="30" priority="3" operator="containsText" text="INCOMPLET"/>
    <x:cfRule type="containsText" dxfId="31" priority="4" operator="containsText" text="PASS"/>
  </x:conditionalFormatting>
  <x:dataValidations count="1">
    <x:dataValidation type="list" sqref="C6:C9">
      <x:formula1>"ND,OUI,NON"</x:formula1>
    </x:dataValidation>
  </x:dataValidations>
  <x:pageMargins left="0.7" right="0.7" top="0.75" bottom="0.75" header="0.3" footer="0.3"/>
  <x:tableParts count="1">
    <x:tablePart xmlns:r="http://schemas.openxmlformats.org/officeDocument/2006/relationships" r:id="R2cbb4aa9a9a540ed"/>
  </x:tableParts>
</x:worksheet>
</file>

<file path=xl/worksheets/sheet9.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14" hidden="0" customWidth="1"/>
    <x:col min="3" max="3" width="24" hidden="0" customWidth="1"/>
    <x:col min="4" max="4" width="24" hidden="0" customWidth="1"/>
    <x:col min="5" max="5" width="24" hidden="0" customWidth="1"/>
    <x:col min="6" max="6" width="24" hidden="0" customWidth="1"/>
    <x:col min="7" max="7" width="22" hidden="0" customWidth="1"/>
    <x:col min="8" max="8" width="20" hidden="0" customWidth="1"/>
    <x:col min="9" max="9" width="18" hidden="0" customWidth="1"/>
    <x:col min="10" max="10" width="18" hidden="0" customWidth="1"/>
  </x:cols>
  <x:sheetData>
    <x:row r="1" ht="28" customHeight="1">
      <x:c r="A1" s="4" t="str">
        <x:v>08 PILOTE</x:v>
      </x:c>
      <x:c r="B1" s="4"/>
      <x:c r="C1" s="4"/>
      <x:c r="D1" s="4"/>
      <x:c r="E1" s="4"/>
      <x:c r="F1" s="4"/>
      <x:c r="G1" s="4"/>
      <x:c r="H1" s="4"/>
      <x:c r="I1" s="4"/>
      <x:c r="J1" s="4"/>
    </x:row>
    <x:row r="2" ht="28" customHeight="1">
      <x:c r="A2" s="4"/>
      <x:c r="B2" s="4"/>
      <x:c r="C2" s="4"/>
      <x:c r="D2" s="4"/>
      <x:c r="E2" s="4"/>
      <x:c r="F2" s="4"/>
      <x:c r="G2" s="4"/>
      <x:c r="H2" s="4"/>
      <x:c r="I2" s="4"/>
      <x:c r="J2" s="4"/>
    </x:row>
    <x:row r="3" ht="32" customHeight="1">
      <x:c r="A3" s="8" t="str">
        <x:v>Critères locaux, rollback et suivis +30/+90 après le pilote — EXEMPLE FICTIF — arrêté 2026-07-28</x:v>
      </x:c>
      <x:c r="B3" s="8"/>
      <x:c r="C3" s="8"/>
      <x:c r="D3" s="8"/>
      <x:c r="E3" s="8"/>
      <x:c r="F3" s="8"/>
      <x:c r="G3" s="8"/>
      <x:c r="H3" s="8"/>
      <x:c r="I3" s="8"/>
      <x:c r="J3" s="8"/>
    </x:row>
    <x:row r="5" ht="34" customHeight="1">
      <x:c r="B5" s="13" t="str">
        <x:v>Phase</x:v>
      </x:c>
      <x:c r="C5" s="13" t="str">
        <x:v>Cas / population</x:v>
      </x:c>
      <x:c r="D5" s="13" t="str">
        <x:v>Baseline</x:v>
      </x:c>
      <x:c r="E5" s="13" t="str">
        <x:v>Critère STOP</x:v>
      </x:c>
      <x:c r="F5" s="13" t="str">
        <x:v>Critère continuer</x:v>
      </x:c>
      <x:c r="G5" s="13" t="str">
        <x:v>Rollback</x:v>
      </x:c>
      <x:c r="H5" s="13" t="str">
        <x:v>Responsable</x:v>
      </x:c>
      <x:c r="I5" s="13" t="str">
        <x:v>Date de revue</x:v>
      </x:c>
      <x:c r="J5" s="13" t="str">
        <x:v>Statut</x:v>
      </x:c>
    </x:row>
    <x:row r="6" ht="78" customHeight="1">
      <x:c r="B6" s="23" t="str">
        <x:v>J1–J5 — EXEMPLE FICTIF</x:v>
      </x:c>
      <x:c r="C6" s="23" t="str">
        <x:v>Trois situations, utilisateurs nommés</x:v>
      </x:c>
      <x:c r="D6" s="23" t="str">
        <x:v>Volumes et temps gelés</x:v>
      </x:c>
      <x:c r="E6" s="23" t="str">
        <x:v>Sécurité non maîtrisée</x:v>
      </x:c>
      <x:c r="F6" s="23" t="str">
        <x:v>Dossier testable</x:v>
      </x:c>
      <x:c r="G6" s="23" t="str">
        <x:v>Mode manuel</x:v>
      </x:c>
      <x:c r="H6" s="23" t="str">
        <x:v>Responsable métier</x:v>
      </x:c>
      <x:c r="I6" s="37" t="n">
        <x:v>46236</x:v>
      </x:c>
      <x:c r="J6" s="34" t="str">
        <x:f>IF(ISNUMBER(I6),IF(AND(AND(LEN(TRIM(B6))&gt;=3,AND(IFERROR(SEARCH("FICTI",B6),0)=0,IFERROR(SEARCH("EXEMPLE",B6),0)=0,IFERROR(SEARCH("FIXTURE",B6),0)=0)),AND(LEN(TRIM(C6))&gt;=3,AND(IFERROR(SEARCH("FICTI",C6),0)=0,IFERROR(SEARCH("EXEMPLE",C6),0)=0,IFERROR(SEARCH("FIXTURE",C6),0)=0)),AND(LEN(TRIM(D6))&gt;=3,AND(IFERROR(SEARCH("FICTI",D6),0)=0,IFERROR(SEARCH("EXEMPLE",D6),0)=0,IFERROR(SEARCH("FIXTURE",D6),0)=0)),AND(LEN(TRIM(E6))&gt;=3,AND(IFERROR(SEARCH("FICTI",E6),0)=0,IFERROR(SEARCH("EXEMPLE",E6),0)=0,IFERROR(SEARCH("FIXTURE",E6),0)=0)),AND(LEN(TRIM(F6))&gt;=3,AND(IFERROR(SEARCH("FICTI",F6),0)=0,IFERROR(SEARCH("EXEMPLE",F6),0)=0,IFERROR(SEARCH("FIXTURE",F6),0)=0)),AND(LEN(TRIM(G6))&gt;=3,AND(IFERROR(SEARCH("FICTI",G6),0)=0,IFERROR(SEARCH("EXEMPLE",G6),0)=0,IFERROR(SEARCH("FIXTURE",G6),0)=0)),AND(LEN(TRIM(H6))&gt;=3,AND(IFERROR(SEARCH("FICTI",H6),0)=0,IFERROR(SEARCH("EXEMPLE",H6),0)=0,IFERROR(SEARCH("FIXTURE",H6),0)=0)),INT(I6)=I6,I6&lt;=2958465,I6&gt;'01_DOSSIER'!C9,I6&lt;='01_DOSSIER'!C14,COUNTIF($I$6:$I$12,I6)=1),"PASS","INCOMPLET"),"INCOMPLET")</x:f>
        <x:v>INCOMPLET</x:v>
      </x:c>
    </x:row>
    <x:row r="7" ht="78" customHeight="1">
      <x:c r="B7" s="23" t="str">
        <x:v>J6–J10 — EXEMPLE FICTIF</x:v>
      </x:c>
      <x:c r="C7" s="23" t="str">
        <x:v>Import expurgé et cas limites</x:v>
      </x:c>
      <x:c r="D7" s="23" t="str">
        <x:v>Qualité initiale</x:v>
      </x:c>
      <x:c r="E7" s="23" t="str">
        <x:v>Réconciliation impossible</x:v>
      </x:c>
      <x:c r="F7" s="23" t="str">
        <x:v>Données rapprochées</x:v>
      </x:c>
      <x:c r="G7" s="23" t="str">
        <x:v>Restaurer l’environnement</x:v>
      </x:c>
      <x:c r="H7" s="23" t="str">
        <x:v>Data owner</x:v>
      </x:c>
      <x:c r="I7" s="37" t="n">
        <x:v>46241</x:v>
      </x:c>
      <x:c r="J7" s="34" t="str">
        <x:f>IF(ISNUMBER(I7),IF(AND(AND(LEN(TRIM(B7))&gt;=3,AND(IFERROR(SEARCH("FICTI",B7),0)=0,IFERROR(SEARCH("EXEMPLE",B7),0)=0,IFERROR(SEARCH("FIXTURE",B7),0)=0)),AND(LEN(TRIM(C7))&gt;=3,AND(IFERROR(SEARCH("FICTI",C7),0)=0,IFERROR(SEARCH("EXEMPLE",C7),0)=0,IFERROR(SEARCH("FIXTURE",C7),0)=0)),AND(LEN(TRIM(D7))&gt;=3,AND(IFERROR(SEARCH("FICTI",D7),0)=0,IFERROR(SEARCH("EXEMPLE",D7),0)=0,IFERROR(SEARCH("FIXTURE",D7),0)=0)),AND(LEN(TRIM(E7))&gt;=3,AND(IFERROR(SEARCH("FICTI",E7),0)=0,IFERROR(SEARCH("EXEMPLE",E7),0)=0,IFERROR(SEARCH("FIXTURE",E7),0)=0)),AND(LEN(TRIM(F7))&gt;=3,AND(IFERROR(SEARCH("FICTI",F7),0)=0,IFERROR(SEARCH("EXEMPLE",F7),0)=0,IFERROR(SEARCH("FIXTURE",F7),0)=0)),AND(LEN(TRIM(G7))&gt;=3,AND(IFERROR(SEARCH("FICTI",G7),0)=0,IFERROR(SEARCH("EXEMPLE",G7),0)=0,IFERROR(SEARCH("FIXTURE",G7),0)=0)),AND(LEN(TRIM(H7))&gt;=3,AND(IFERROR(SEARCH("FICTI",H7),0)=0,IFERROR(SEARCH("EXEMPLE",H7),0)=0,IFERROR(SEARCH("FIXTURE",H7),0)=0)),INT(I7)=I7,I7&lt;=2958465,I7&gt;'01_DOSSIER'!C9,I7&lt;='01_DOSSIER'!C14,COUNTIF($I$6:$I$12,I7)=1,I7&gt;I6),"PASS","INCOMPLET"),"INCOMPLET")</x:f>
        <x:v>INCOMPLET</x:v>
      </x:c>
    </x:row>
    <x:row r="8" ht="78" customHeight="1">
      <x:c r="B8" s="23" t="str">
        <x:v>J11–J20 — EXEMPLE FICTIF</x:v>
      </x:c>
      <x:c r="C8" s="23" t="str">
        <x:v>Utilisateurs réels bornés</x:v>
      </x:c>
      <x:c r="D8" s="23" t="str">
        <x:v>Parcours avant</x:v>
      </x:c>
      <x:c r="E8" s="23" t="str">
        <x:v>Incident éliminatoire</x:v>
      </x:c>
      <x:c r="F8" s="23" t="str">
        <x:v>Cas critiques réussis</x:v>
      </x:c>
      <x:c r="G8" s="23" t="str">
        <x:v>Retour à l’outil actuel</x:v>
      </x:c>
      <x:c r="H8" s="23" t="str">
        <x:v>Pilote</x:v>
      </x:c>
      <x:c r="I8" s="37" t="n">
        <x:v>46251</x:v>
      </x:c>
      <x:c r="J8" s="34" t="str">
        <x:f>IF(ISNUMBER(I8),IF(AND(AND(LEN(TRIM(B8))&gt;=3,AND(IFERROR(SEARCH("FICTI",B8),0)=0,IFERROR(SEARCH("EXEMPLE",B8),0)=0,IFERROR(SEARCH("FIXTURE",B8),0)=0)),AND(LEN(TRIM(C8))&gt;=3,AND(IFERROR(SEARCH("FICTI",C8),0)=0,IFERROR(SEARCH("EXEMPLE",C8),0)=0,IFERROR(SEARCH("FIXTURE",C8),0)=0)),AND(LEN(TRIM(D8))&gt;=3,AND(IFERROR(SEARCH("FICTI",D8),0)=0,IFERROR(SEARCH("EXEMPLE",D8),0)=0,IFERROR(SEARCH("FIXTURE",D8),0)=0)),AND(LEN(TRIM(E8))&gt;=3,AND(IFERROR(SEARCH("FICTI",E8),0)=0,IFERROR(SEARCH("EXEMPLE",E8),0)=0,IFERROR(SEARCH("FIXTURE",E8),0)=0)),AND(LEN(TRIM(F8))&gt;=3,AND(IFERROR(SEARCH("FICTI",F8),0)=0,IFERROR(SEARCH("EXEMPLE",F8),0)=0,IFERROR(SEARCH("FIXTURE",F8),0)=0)),AND(LEN(TRIM(G8))&gt;=3,AND(IFERROR(SEARCH("FICTI",G8),0)=0,IFERROR(SEARCH("EXEMPLE",G8),0)=0,IFERROR(SEARCH("FIXTURE",G8),0)=0)),AND(LEN(TRIM(H8))&gt;=3,AND(IFERROR(SEARCH("FICTI",H8),0)=0,IFERROR(SEARCH("EXEMPLE",H8),0)=0,IFERROR(SEARCH("FIXTURE",H8),0)=0)),INT(I8)=I8,I8&lt;=2958465,I8&gt;'01_DOSSIER'!C9,I8&lt;='01_DOSSIER'!C14,COUNTIF($I$6:$I$12,I8)=1,I8&gt;I7),"PASS","INCOMPLET"),"INCOMPLET")</x:f>
        <x:v>INCOMPLET</x:v>
      </x:c>
    </x:row>
    <x:row r="9" ht="78" customHeight="1">
      <x:c r="B9" s="23" t="str">
        <x:v>J21–J25 — EXEMPLE FICTIF</x:v>
      </x:c>
      <x:c r="C9" s="23" t="str">
        <x:v>Erreurs et accessibilité</x:v>
      </x:c>
      <x:c r="D9" s="23" t="str">
        <x:v>Taux d’exception</x:v>
      </x:c>
      <x:c r="E9" s="23" t="str">
        <x:v>Contournement persistant</x:v>
      </x:c>
      <x:c r="F9" s="23" t="str">
        <x:v>Résultat reproductible</x:v>
      </x:c>
      <x:c r="G9" s="23" t="str">
        <x:v>Correction puis rejeu</x:v>
      </x:c>
      <x:c r="H9" s="23" t="str">
        <x:v>UX / exploitation</x:v>
      </x:c>
      <x:c r="I9" s="37" t="n">
        <x:v>46256</x:v>
      </x:c>
      <x:c r="J9" s="34" t="str">
        <x:f>IF(ISNUMBER(I9),IF(AND(AND(LEN(TRIM(B9))&gt;=3,AND(IFERROR(SEARCH("FICTI",B9),0)=0,IFERROR(SEARCH("EXEMPLE",B9),0)=0,IFERROR(SEARCH("FIXTURE",B9),0)=0)),AND(LEN(TRIM(C9))&gt;=3,AND(IFERROR(SEARCH("FICTI",C9),0)=0,IFERROR(SEARCH("EXEMPLE",C9),0)=0,IFERROR(SEARCH("FIXTURE",C9),0)=0)),AND(LEN(TRIM(D9))&gt;=3,AND(IFERROR(SEARCH("FICTI",D9),0)=0,IFERROR(SEARCH("EXEMPLE",D9),0)=0,IFERROR(SEARCH("FIXTURE",D9),0)=0)),AND(LEN(TRIM(E9))&gt;=3,AND(IFERROR(SEARCH("FICTI",E9),0)=0,IFERROR(SEARCH("EXEMPLE",E9),0)=0,IFERROR(SEARCH("FIXTURE",E9),0)=0)),AND(LEN(TRIM(F9))&gt;=3,AND(IFERROR(SEARCH("FICTI",F9),0)=0,IFERROR(SEARCH("EXEMPLE",F9),0)=0,IFERROR(SEARCH("FIXTURE",F9),0)=0)),AND(LEN(TRIM(G9))&gt;=3,AND(IFERROR(SEARCH("FICTI",G9),0)=0,IFERROR(SEARCH("EXEMPLE",G9),0)=0,IFERROR(SEARCH("FIXTURE",G9),0)=0)),AND(LEN(TRIM(H9))&gt;=3,AND(IFERROR(SEARCH("FICTI",H9),0)=0,IFERROR(SEARCH("EXEMPLE",H9),0)=0,IFERROR(SEARCH("FIXTURE",H9),0)=0)),INT(I9)=I9,I9&lt;=2958465,I9&gt;'01_DOSSIER'!C9,I9&lt;='01_DOSSIER'!C14,COUNTIF($I$6:$I$12,I9)=1,I9&gt;I8),"PASS","INCOMPLET"),"INCOMPLET")</x:f>
        <x:v>INCOMPLET</x:v>
      </x:c>
    </x:row>
    <x:row r="10" ht="78" customHeight="1">
      <x:c r="B10" s="23" t="str">
        <x:v>J26–J30 — EXEMPLE FICTIF</x:v>
      </x:c>
      <x:c r="C10" s="23" t="str">
        <x:v>Décision collective</x:v>
      </x:c>
      <x:c r="D10" s="23" t="str">
        <x:v>TCO actualisé</x:v>
      </x:c>
      <x:c r="E10" s="23" t="str">
        <x:v>Inconnue critique</x:v>
      </x:c>
      <x:c r="F10" s="23" t="str">
        <x:v>Décision humaine écrite</x:v>
      </x:c>
      <x:c r="G10" s="23" t="str">
        <x:v>Arrêt documenté</x:v>
      </x:c>
      <x:c r="H10" s="23" t="str">
        <x:v>Sponsor</x:v>
      </x:c>
      <x:c r="I10" s="37" t="n">
        <x:v>46261</x:v>
      </x:c>
      <x:c r="J10" s="34" t="str">
        <x:f>IF(ISNUMBER(I10),IF(AND(AND(LEN(TRIM(B10))&gt;=3,AND(IFERROR(SEARCH("FICTI",B10),0)=0,IFERROR(SEARCH("EXEMPLE",B10),0)=0,IFERROR(SEARCH("FIXTURE",B10),0)=0)),AND(LEN(TRIM(C10))&gt;=3,AND(IFERROR(SEARCH("FICTI",C10),0)=0,IFERROR(SEARCH("EXEMPLE",C10),0)=0,IFERROR(SEARCH("FIXTURE",C10),0)=0)),AND(LEN(TRIM(D10))&gt;=3,AND(IFERROR(SEARCH("FICTI",D10),0)=0,IFERROR(SEARCH("EXEMPLE",D10),0)=0,IFERROR(SEARCH("FIXTURE",D10),0)=0)),AND(LEN(TRIM(E10))&gt;=3,AND(IFERROR(SEARCH("FICTI",E10),0)=0,IFERROR(SEARCH("EXEMPLE",E10),0)=0,IFERROR(SEARCH("FIXTURE",E10),0)=0)),AND(LEN(TRIM(F10))&gt;=3,AND(IFERROR(SEARCH("FICTI",F10),0)=0,IFERROR(SEARCH("EXEMPLE",F10),0)=0,IFERROR(SEARCH("FIXTURE",F10),0)=0)),AND(LEN(TRIM(G10))&gt;=3,AND(IFERROR(SEARCH("FICTI",G10),0)=0,IFERROR(SEARCH("EXEMPLE",G10),0)=0,IFERROR(SEARCH("FIXTURE",G10),0)=0)),AND(LEN(TRIM(H10))&gt;=3,AND(IFERROR(SEARCH("FICTI",H10),0)=0,IFERROR(SEARCH("EXEMPLE",H10),0)=0,IFERROR(SEARCH("FIXTURE",H10),0)=0)),INT(I10)=I10,I10&lt;=2958465,I10&gt;'01_DOSSIER'!C9,I10&lt;='01_DOSSIER'!C14,COUNTIF($I$6:$I$12,I10)=1,I10&gt;I9),"PASS","INCOMPLET"),"INCOMPLET")</x:f>
        <x:v>INCOMPLET</x:v>
      </x:c>
    </x:row>
    <x:row r="11" ht="78" customHeight="1">
      <x:c r="B11" s="23" t="str">
        <x:v>Suivi +30 après pilote — EXEMPLE FICTIF</x:v>
      </x:c>
      <x:c r="C11" s="23" t="str">
        <x:v>Adoption, support et dépendances</x:v>
      </x:c>
      <x:c r="D11" s="23" t="str">
        <x:v>Usage et incidents depuis J30</x:v>
      </x:c>
      <x:c r="E11" s="23" t="str">
        <x:v>Dépendance cachée ou risque critique</x:v>
      </x:c>
      <x:c r="F11" s="23" t="str">
        <x:v>Service exploitable et écarts bornés</x:v>
      </x:c>
      <x:c r="G11" s="23" t="str">
        <x:v>Retour à la voie précédente</x:v>
      </x:c>
      <x:c r="H11" s="23" t="str">
        <x:v>Responsable exploitation</x:v>
      </x:c>
      <x:c r="I11" s="37" t="n">
        <x:v>46291</x:v>
      </x:c>
      <x:c r="J11" s="34" t="str">
        <x:f>IF(ISNUMBER(I11),IF(AND(AND(LEN(TRIM(B11))&gt;=3,AND(IFERROR(SEARCH("FICTI",B11),0)=0,IFERROR(SEARCH("EXEMPLE",B11),0)=0,IFERROR(SEARCH("FIXTURE",B11),0)=0)),AND(LEN(TRIM(C11))&gt;=3,AND(IFERROR(SEARCH("FICTI",C11),0)=0,IFERROR(SEARCH("EXEMPLE",C11),0)=0,IFERROR(SEARCH("FIXTURE",C11),0)=0)),AND(LEN(TRIM(D11))&gt;=3,AND(IFERROR(SEARCH("FICTI",D11),0)=0,IFERROR(SEARCH("EXEMPLE",D11),0)=0,IFERROR(SEARCH("FIXTURE",D11),0)=0)),AND(LEN(TRIM(E11))&gt;=3,AND(IFERROR(SEARCH("FICTI",E11),0)=0,IFERROR(SEARCH("EXEMPLE",E11),0)=0,IFERROR(SEARCH("FIXTURE",E11),0)=0)),AND(LEN(TRIM(F11))&gt;=3,AND(IFERROR(SEARCH("FICTI",F11),0)=0,IFERROR(SEARCH("EXEMPLE",F11),0)=0,IFERROR(SEARCH("FIXTURE",F11),0)=0)),AND(LEN(TRIM(G11))&gt;=3,AND(IFERROR(SEARCH("FICTI",G11),0)=0,IFERROR(SEARCH("EXEMPLE",G11),0)=0,IFERROR(SEARCH("FIXTURE",G11),0)=0)),AND(LEN(TRIM(H11))&gt;=3,AND(IFERROR(SEARCH("FICTI",H11),0)=0,IFERROR(SEARCH("EXEMPLE",H11),0)=0,IFERROR(SEARCH("FIXTURE",H11),0)=0)),INT(I11)=I11,I11&lt;=2958465,I11&gt;'01_DOSSIER'!C9,I11&lt;='01_DOSSIER'!C14,COUNTIF($I$6:$I$12,I11)=1,I11&gt;I10,I11=I10+30),"PASS","INCOMPLET"),"INCOMPLET")</x:f>
        <x:v>INCOMPLET</x:v>
      </x:c>
    </x:row>
    <x:row r="12" ht="78" customHeight="1">
      <x:c r="B12" s="24" t="str">
        <x:v>Suivi +90 après pilote — EXEMPLE FICTIF</x:v>
      </x:c>
      <x:c r="C12" s="24" t="str">
        <x:v>Charge, coût complet et sortie</x:v>
      </x:c>
      <x:c r="D12" s="24" t="str">
        <x:v>TCO et qualité depuis J30</x:v>
      </x:c>
      <x:c r="E12" s="24" t="str">
        <x:v>Résultat non durable ou sortie impossible</x:v>
      </x:c>
      <x:c r="F12" s="24" t="str">
        <x:v>Décision humaine et prochaine revue</x:v>
      </x:c>
      <x:c r="G12" s="24" t="str">
        <x:v>Arrêt ou réduction documentés</x:v>
      </x:c>
      <x:c r="H12" s="24" t="str">
        <x:v>Sponsor et responsable métier</x:v>
      </x:c>
      <x:c r="I12" s="38" t="n">
        <x:v>46351</x:v>
      </x:c>
      <x:c r="J12" s="36" t="str">
        <x:f>IF(ISNUMBER(I12),IF(AND(AND(LEN(TRIM(B12))&gt;=3,AND(IFERROR(SEARCH("FICTI",B12),0)=0,IFERROR(SEARCH("EXEMPLE",B12),0)=0,IFERROR(SEARCH("FIXTURE",B12),0)=0)),AND(LEN(TRIM(C12))&gt;=3,AND(IFERROR(SEARCH("FICTI",C12),0)=0,IFERROR(SEARCH("EXEMPLE",C12),0)=0,IFERROR(SEARCH("FIXTURE",C12),0)=0)),AND(LEN(TRIM(D12))&gt;=3,AND(IFERROR(SEARCH("FICTI",D12),0)=0,IFERROR(SEARCH("EXEMPLE",D12),0)=0,IFERROR(SEARCH("FIXTURE",D12),0)=0)),AND(LEN(TRIM(E12))&gt;=3,AND(IFERROR(SEARCH("FICTI",E12),0)=0,IFERROR(SEARCH("EXEMPLE",E12),0)=0,IFERROR(SEARCH("FIXTURE",E12),0)=0)),AND(LEN(TRIM(F12))&gt;=3,AND(IFERROR(SEARCH("FICTI",F12),0)=0,IFERROR(SEARCH("EXEMPLE",F12),0)=0,IFERROR(SEARCH("FIXTURE",F12),0)=0)),AND(LEN(TRIM(G12))&gt;=3,AND(IFERROR(SEARCH("FICTI",G12),0)=0,IFERROR(SEARCH("EXEMPLE",G12),0)=0,IFERROR(SEARCH("FIXTURE",G12),0)=0)),AND(LEN(TRIM(H12))&gt;=3,AND(IFERROR(SEARCH("FICTI",H12),0)=0,IFERROR(SEARCH("EXEMPLE",H12),0)=0,IFERROR(SEARCH("FIXTURE",H12),0)=0)),INT(I12)=I12,I12&lt;=2958465,I12&gt;'01_DOSSIER'!C9,I12&lt;='01_DOSSIER'!C14,COUNTIF($I$6:$I$12,I12)=1,I12&gt;I11,I12=I10+90),"PASS","INCOMPLET"),"INCOMPLET")</x:f>
        <x:v>INCOMPLET</x:v>
      </x:c>
    </x:row>
  </x:sheetData>
  <x:mergeCells>
    <x:mergeCell ref="A1:J2"/>
    <x:mergeCell ref="A3:J3"/>
  </x:mergeCells>
  <x:conditionalFormatting sqref="J6:J12">
    <x:cfRule type="containsText" dxfId="32" priority="1" operator="containsText" text="STOP"/>
    <x:cfRule type="containsText" dxfId="33" priority="2" operator="containsText" text="BLOQUE"/>
    <x:cfRule type="containsText" dxfId="34" priority="3" operator="containsText" text="INCOMPLET"/>
    <x:cfRule type="containsText" dxfId="35" priority="4" operator="containsText" text="PASS"/>
  </x:conditionalFormatting>
  <x:pageMargins left="0.7" right="0.7" top="0.75" bottom="0.75" header="0.3" footer="0.3"/>
  <x:tableParts count="1">
    <x:tablePart xmlns:r="http://schemas.openxmlformats.org/officeDocument/2006/relationships" r:id="Re628cb99806d4c2b"/>
  </x:tableParts>
</x:worksheet>
</file>

<file path=xl/worksheets/sheet10.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24" hidden="0" customWidth="1"/>
    <x:col min="3" max="3" width="16" hidden="0" customWidth="1"/>
    <x:col min="4" max="4" width="27" hidden="0" customWidth="1"/>
    <x:col min="5" max="5" width="16" hidden="0" customWidth="1"/>
    <x:col min="6" max="6" width="34" hidden="0" customWidth="1"/>
    <x:col min="7" max="7" width="28" hidden="0" customWidth="1"/>
    <x:col min="8" max="8" width="22" hidden="0" customWidth="1"/>
    <x:col min="9" max="9" width="18" hidden="0" customWidth="1"/>
  </x:cols>
  <x:sheetData>
    <x:row r="1" ht="28" customHeight="1">
      <x:c r="A1" s="4" t="str">
        <x:v>09 DECISION</x:v>
      </x:c>
      <x:c r="B1" s="4"/>
      <x:c r="C1" s="4"/>
      <x:c r="D1" s="4"/>
      <x:c r="E1" s="4"/>
      <x:c r="F1" s="4"/>
      <x:c r="G1" s="4"/>
      <x:c r="H1" s="4"/>
      <x:c r="I1" s="4"/>
    </x:row>
    <x:row r="2" ht="28" customHeight="1">
      <x:c r="A2" s="4"/>
      <x:c r="B2" s="4"/>
      <x:c r="C2" s="4"/>
      <x:c r="D2" s="4"/>
      <x:c r="E2" s="4"/>
      <x:c r="F2" s="4"/>
      <x:c r="G2" s="4"/>
      <x:c r="H2" s="4"/>
      <x:c r="I2" s="4"/>
    </x:row>
    <x:row r="3" ht="32" customHeight="1">
      <x:c r="A3" s="8" t="str">
        <x:v>Preuves, portes et décision strictement humaine — EXEMPLE FICTIF — arrêté 2026-07-28</x:v>
      </x:c>
      <x:c r="B3" s="8"/>
      <x:c r="C3" s="8"/>
      <x:c r="D3" s="8"/>
      <x:c r="E3" s="8"/>
      <x:c r="F3" s="8"/>
      <x:c r="G3" s="8"/>
      <x:c r="H3" s="8"/>
      <x:c r="I3" s="8"/>
    </x:row>
    <x:row r="5" ht="34" customHeight="1">
      <x:c r="B5" s="13" t="str">
        <x:v>Domaine de preuve</x:v>
      </x:c>
      <x:c r="C5" s="13" t="str">
        <x:v>Statut</x:v>
      </x:c>
      <x:c r="D5" s="13" t="str">
        <x:v>Référence expurgée</x:v>
      </x:c>
      <x:c r="E5" s="13" t="str">
        <x:v>Date de preuve</x:v>
      </x:c>
      <x:c r="F5" s="13" t="str">
        <x:v>Preuve attendue</x:v>
      </x:c>
      <x:c r="G5" s="13" t="str">
        <x:v>Sources</x:v>
      </x:c>
      <x:c r="H5" s="13" t="str">
        <x:v>Responsable</x:v>
      </x:c>
      <x:c r="I5" s="13" t="str">
        <x:v>Contrôle</x:v>
      </x:c>
    </x:row>
    <x:row r="6" ht="92" customHeight="1">
      <x:c r="B6" s="20" t="str">
        <x:v>Trois situations datées</x:v>
      </x:c>
      <x:c r="C6" s="23" t="str">
        <x:v>DECLARE</x:v>
      </x:c>
      <x:c r="D6" s="23" t="str"/>
      <x:c r="E6" s="37" t="str"/>
      <x:c r="F6" s="20" t="str">
        <x:v>Un cas courant, un cas difficile et un cas à conséquence sont décrits par un événement daté, un résultat attendu, une preuve consultable et des mesures séparant travail actif, correction et attente.</x:v>
      </x:c>
      <x:c r="G6" s="20" t="str">
        <x:v>GOVUK-USER-NEEDS | DESIGNGOUV-BESOINS</x:v>
      </x:c>
      <x:c r="H6" s="23" t="str">
        <x:v>À nommer</x:v>
      </x:c>
      <x:c r="I6" s="34" t="str">
        <x:f>IF(C6="ECHEC","STOP",IF(C6&lt;&gt;"VERIFIE","INCOMPLET",IF(ISNUMBER(E6),IF(AND(AND(LEN(TRIM(B6))&gt;=3,AND(IFERROR(SEARCH("FICTI",B6),0)=0,IFERROR(SEARCH("EXEMPLE",B6),0)=0,IFERROR(SEARCH("FIXTURE",B6),0)=0)),COUNTIF($B$6:$B$13,B6)=1,AND(LEN(TRIM(D6))&gt;=6,AND(IFERROR(SEARCH("FICTI",D6),0)=0,IFERROR(SEARCH("EXEMPLE",D6),0)=0,IFERROR(SEARCH("FIXTURE",D6),0)=0)),COUNTIF($D$6:$D$13,D6)=1,INT(E6)=E6,E6&gt;=36526,E6&lt;='01_DOSSIER'!C9,E6&lt;='01_DOSSIER'!C11,AND(LEN(TRIM(H6))&gt;=3,AND(IFERROR(SEARCH("FICTI",H6),0)=0,IFERROR(SEARCH("EXEMPLE",H6),0)=0,IFERROR(SEARCH("FIXTURE",H6),0)=0))),"PASS","INCOMPLET"),"INCOMPLET")))</x:f>
        <x:v>INCOMPLET</x:v>
      </x:c>
    </x:row>
    <x:row r="7" ht="92" customHeight="1">
      <x:c r="B7" s="20" t="str">
        <x:v>Utilisateurs, règles et exceptions</x:v>
      </x:c>
      <x:c r="C7" s="23" t="str">
        <x:v>DECLARE</x:v>
      </x:c>
      <x:c r="D7" s="23" t="str"/>
      <x:c r="E7" s="37" t="str"/>
      <x:c r="F7" s="20" t="str">
        <x:v>Les personnes qui réalisent le travail ont expliqué la règle principale, montré au moins une exception et distingué ce qui est stable de ce qui change encore, sans partir du nom d'une solution.</x:v>
      </x:c>
      <x:c r="G7" s="20" t="str">
        <x:v>GOVUK-USER-NEEDS | CANADA-DIGITAL-STANDARDS</x:v>
      </x:c>
      <x:c r="H7" s="23" t="str">
        <x:v>À nommer</x:v>
      </x:c>
      <x:c r="I7" s="34" t="str">
        <x:f>IF(C7="ECHEC","STOP",IF(C7&lt;&gt;"VERIFIE","INCOMPLET",IF(ISNUMBER(E7),IF(AND(AND(LEN(TRIM(B7))&gt;=3,AND(IFERROR(SEARCH("FICTI",B7),0)=0,IFERROR(SEARCH("EXEMPLE",B7),0)=0,IFERROR(SEARCH("FIXTURE",B7),0)=0)),COUNTIF($B$6:$B$13,B7)=1,AND(LEN(TRIM(D7))&gt;=6,AND(IFERROR(SEARCH("FICTI",D7),0)=0,IFERROR(SEARCH("EXEMPLE",D7),0)=0,IFERROR(SEARCH("FIXTURE",D7),0)=0)),COUNTIF($D$6:$D$13,D7)=1,INT(E7)=E7,E7&gt;=36526,E7&lt;='01_DOSSIER'!C9,E7&lt;='01_DOSSIER'!C11,AND(LEN(TRIM(H7))&gt;=3,AND(IFERROR(SEARCH("FICTI",H7),0)=0,IFERROR(SEARCH("EXEMPLE",H7),0)=0,IFERROR(SEARCH("FIXTURE",H7),0)=0))),"PASS","INCOMPLET"),"INCOMPLET")))</x:f>
        <x:v>INCOMPLET</x:v>
      </x:c>
    </x:row>
    <x:row r="8" ht="92" customHeight="1">
      <x:c r="B8" s="20" t="str">
        <x:v>Correction de l’existant testée</x:v>
      </x:c>
      <x:c r="C8" s="23" t="str">
        <x:v>DECLARE</x:v>
      </x:c>
      <x:c r="D8" s="23" t="str"/>
      <x:c r="E8" s="37" t="str"/>
      <x:c r="F8" s="20" t="str">
        <x:v>La configuration, les droits, la formation et la procédure de l'outil actuel ont été examinés sur les trois situations ; les résultats, limites et responsables sont écrits.</x:v>
      </x:c>
      <x:c r="G8" s="20" t="str">
        <x:v>RGESN-2024 | EC-SME-MATURITY</x:v>
      </x:c>
      <x:c r="H8" s="23" t="str">
        <x:v>À nommer</x:v>
      </x:c>
      <x:c r="I8" s="34" t="str">
        <x:f>IF(C8="ECHEC","STOP",IF(C8&lt;&gt;"VERIFIE","INCOMPLET",IF(ISNUMBER(E8),IF(AND(AND(LEN(TRIM(B8))&gt;=3,AND(IFERROR(SEARCH("FICTI",B8),0)=0,IFERROR(SEARCH("EXEMPLE",B8),0)=0,IFERROR(SEARCH("FIXTURE",B8),0)=0)),COUNTIF($B$6:$B$13,B8)=1,AND(LEN(TRIM(D8))&gt;=6,AND(IFERROR(SEARCH("FICTI",D8),0)=0,IFERROR(SEARCH("EXEMPLE",D8),0)=0,IFERROR(SEARCH("FIXTURE",D8),0)=0)),COUNTIF($D$6:$D$13,D8)=1,INT(E8)=E8,E8&gt;=36526,E8&lt;='01_DOSSIER'!C9,E8&lt;='01_DOSSIER'!C11,AND(LEN(TRIM(H8))&gt;=3,AND(IFERROR(SEARCH("FICTI",H8),0)=0,IFERROR(SEARCH("EXEMPLE",H8),0)=0,IFERROR(SEARCH("FIXTURE",H8),0)=0))),"PASS","INCOMPLET"),"INCOMPLET")))</x:f>
        <x:v>INCOMPLET</x:v>
      </x:c>
    </x:row>
    <x:row r="9" ht="92" customHeight="1">
      <x:c r="B9" s="20" t="str">
        <x:v>Solutions standards comparées</x:v>
      </x:c>
      <x:c r="C9" s="23" t="str">
        <x:v>DECLARE</x:v>
      </x:c>
      <x:c r="D9" s="23" t="str"/>
      <x:c r="E9" s="37" t="str"/>
      <x:c r="F9" s="20" t="str">
        <x:v>Au moins une option standard plausible est essayée ou démontrée sur les mêmes situations, y compris une exception, une exportation et une condition de sortie ; une impossibilité d'essai est justifiée.</x:v>
      </x:c>
      <x:c r="G9" s="20" t="str">
        <x:v>GOVUK-COTS | GOVUK-RIGHT-TOOLS</x:v>
      </x:c>
      <x:c r="H9" s="23" t="str">
        <x:v>À nommer</x:v>
      </x:c>
      <x:c r="I9" s="34" t="str">
        <x:f>IF(C9="ECHEC","STOP",IF(C9&lt;&gt;"VERIFIE","INCOMPLET",IF(ISNUMBER(E9),IF(AND(AND(LEN(TRIM(B9))&gt;=3,AND(IFERROR(SEARCH("FICTI",B9),0)=0,IFERROR(SEARCH("EXEMPLE",B9),0)=0,IFERROR(SEARCH("FIXTURE",B9),0)=0)),COUNTIF($B$6:$B$13,B9)=1,AND(LEN(TRIM(D9))&gt;=6,AND(IFERROR(SEARCH("FICTI",D9),0)=0,IFERROR(SEARCH("EXEMPLE",D9),0)=0,IFERROR(SEARCH("FIXTURE",D9),0)=0)),COUNTIF($D$6:$D$13,D9)=1,INT(E9)=E9,E9&gt;=36526,E9&lt;='01_DOSSIER'!C9,E9&lt;='01_DOSSIER'!C11,AND(LEN(TRIM(H9))&gt;=3,AND(IFERROR(SEARCH("FICTI",H9),0)=0,IFERROR(SEARCH("EXEMPLE",H9),0)=0,IFERROR(SEARCH("FIXTURE",H9),0)=0))),"PASS","INCOMPLET"),"INCOMPLET")))</x:f>
        <x:v>INCOMPLET</x:v>
      </x:c>
    </x:row>
    <x:row r="10" ht="92" customHeight="1">
      <x:c r="B10" s="20" t="str">
        <x:v>Données et intégrations cartographiées</x:v>
      </x:c>
      <x:c r="C10" s="23" t="str">
        <x:v>DECLARE</x:v>
      </x:c>
      <x:c r="D10" s="23" t="str"/>
      <x:c r="E10" s="37" t="str"/>
      <x:c r="F10" s="20" t="str">
        <x:v>Les données maîtresses, leur propriétaire, les identifiants de rapprochement, les imports, exports, volumes, erreurs et connexions sont cartographiés sans secret dans le dossier.</x:v>
      </x:c>
      <x:c r="G10" s="20" t="str">
        <x:v>GOVUK-OPEN-STANDARDS | CANADA-SERVICE-DIGITAL | CANADA-DIGITAL-STANDARDS</x:v>
      </x:c>
      <x:c r="H10" s="23" t="str">
        <x:v>À nommer</x:v>
      </x:c>
      <x:c r="I10" s="34" t="str">
        <x:f>IF(C10="ECHEC","STOP",IF(C10&lt;&gt;"VERIFIE","INCOMPLET",IF(ISNUMBER(E10),IF(AND(AND(LEN(TRIM(B10))&gt;=3,AND(IFERROR(SEARCH("FICTI",B10),0)=0,IFERROR(SEARCH("EXEMPLE",B10),0)=0,IFERROR(SEARCH("FIXTURE",B10),0)=0)),COUNTIF($B$6:$B$13,B10)=1,AND(LEN(TRIM(D10))&gt;=6,AND(IFERROR(SEARCH("FICTI",D10),0)=0,IFERROR(SEARCH("EXEMPLE",D10),0)=0,IFERROR(SEARCH("FIXTURE",D10),0)=0)),COUNTIF($D$6:$D$13,D10)=1,INT(E10)=E10,E10&gt;=36526,E10&lt;='01_DOSSIER'!C9,E10&lt;='01_DOSSIER'!C11,AND(LEN(TRIM(H10))&gt;=3,AND(IFERROR(SEARCH("FICTI",H10),0)=0,IFERROR(SEARCH("EXEMPLE",H10),0)=0,IFERROR(SEARCH("FIXTURE",H10),0)=0))),"PASS","INCOMPLET"),"INCOMPLET")))</x:f>
        <x:v>INCOMPLET</x:v>
      </x:c>
    </x:row>
    <x:row r="11" ht="92" customHeight="1">
      <x:c r="B11" s="20" t="str">
        <x:v>Sécurité et continuité vérifiées</x:v>
      </x:c>
      <x:c r="C11" s="23" t="str">
        <x:v>DECLARE</x:v>
      </x:c>
      <x:c r="D11" s="23" t="str"/>
      <x:c r="E11" s="37" t="str"/>
      <x:c r="F11" s="20" t="str">
        <x:v>Les accès privilégiés, départs, sauvegardes restaurables, mode manuel, données personnelles et suspicion d'incident sont contrôlés avant toute comparaison fonctionnelle.</x:v>
      </x:c>
      <x:c r="G11" s="20" t="str">
        <x:v>CNIL-HABILITATIONS | CNIL-SAUVEGARDES | CNIL-CONTINUITE | NIST-CSF-2 | NIST-SP800-34</x:v>
      </x:c>
      <x:c r="H11" s="23" t="str">
        <x:v>À nommer</x:v>
      </x:c>
      <x:c r="I11" s="34" t="str">
        <x:f>IF(C11="ECHEC","STOP",IF(C11&lt;&gt;"VERIFIE","INCOMPLET",IF(ISNUMBER(E11),IF(AND(AND(LEN(TRIM(B11))&gt;=3,AND(IFERROR(SEARCH("FICTI",B11),0)=0,IFERROR(SEARCH("EXEMPLE",B11),0)=0,IFERROR(SEARCH("FIXTURE",B11),0)=0)),COUNTIF($B$6:$B$13,B11)=1,AND(LEN(TRIM(D11))&gt;=6,AND(IFERROR(SEARCH("FICTI",D11),0)=0,IFERROR(SEARCH("EXEMPLE",D11),0)=0,IFERROR(SEARCH("FIXTURE",D11),0)=0)),COUNTIF($D$6:$D$13,D11)=1,INT(E11)=E11,E11&gt;=36526,E11&lt;='01_DOSSIER'!C9,E11&lt;='01_DOSSIER'!C11,AND(LEN(TRIM(H11))&gt;=3,AND(IFERROR(SEARCH("FICTI",H11),0)=0,IFERROR(SEARCH("EXEMPLE",H11),0)=0,IFERROR(SEARCH("FIXTURE",H11),0)=0))),"PASS","INCOMPLET"),"INCOMPLET")))</x:f>
        <x:v>INCOMPLET</x:v>
      </x:c>
    </x:row>
    <x:row r="12" ht="92" customHeight="1">
      <x:c r="B12" s="20" t="str">
        <x:v>TCO et adoption documentés</x:v>
      </x:c>
      <x:c r="C12" s="23" t="str">
        <x:v>DECLARE</x:v>
      </x:c>
      <x:c r="D12" s="23" t="str"/>
      <x:c r="E12" s="37" t="str"/>
      <x:c r="F12" s="20" t="str">
        <x:v>Les options sont comparées sur un même horizon avec abonnement ou construction, configuration, données, connexions, formation, double fonctionnement, support, maintenance et temps interne, en conservant les inconnues.</x:v>
      </x:c>
      <x:c r="G12" s="20" t="str">
        <x:v>GOVUK-CHOOSE-TECH | OECD-SME-DIGITAL</x:v>
      </x:c>
      <x:c r="H12" s="23" t="str">
        <x:v>À nommer</x:v>
      </x:c>
      <x:c r="I12" s="34" t="str">
        <x:f>IF(C12="ECHEC","STOP",IF(C12&lt;&gt;"VERIFIE","INCOMPLET",IF(ISNUMBER(E12),IF(AND(AND(LEN(TRIM(B12))&gt;=3,AND(IFERROR(SEARCH("FICTI",B12),0)=0,IFERROR(SEARCH("EXEMPLE",B12),0)=0,IFERROR(SEARCH("FIXTURE",B12),0)=0)),COUNTIF($B$6:$B$13,B12)=1,AND(LEN(TRIM(D12))&gt;=6,AND(IFERROR(SEARCH("FICTI",D12),0)=0,IFERROR(SEARCH("EXEMPLE",D12),0)=0,IFERROR(SEARCH("FIXTURE",D12),0)=0)),COUNTIF($D$6:$D$13,D12)=1,INT(E12)=E12,E12&gt;=36526,E12&lt;='01_DOSSIER'!C9,E12&lt;='01_DOSSIER'!C11,AND(LEN(TRIM(H12))&gt;=3,AND(IFERROR(SEARCH("FICTI",H12),0)=0,IFERROR(SEARCH("EXEMPLE",H12),0)=0,IFERROR(SEARCH("FIXTURE",H12),0)=0))),"PASS","INCOMPLET"),"INCOMPLET")))</x:f>
        <x:v>INCOMPLET</x:v>
      </x:c>
    </x:row>
    <x:row r="13" ht="92" customHeight="1">
      <x:c r="B13" s="21" t="str">
        <x:v>Sortie, accessibilité et bout en bout testés</x:v>
      </x:c>
      <x:c r="C13" s="24" t="str">
        <x:v>DECLARE</x:v>
      </x:c>
      <x:c r="D13" s="24" t="str"/>
      <x:c r="E13" s="38" t="str"/>
      <x:c r="F13" s="21" t="str">
        <x:v>Une exportation exploitable, la réversibilité, l'accessibilité des parcours utiles et le test de bout en bout sont prévus avant décision, avec une personne responsable et une date.</x:v>
      </x:c>
      <x:c r="G13" s="21" t="str">
        <x:v>GOVUK-COTS | DTA-DIGITAL-STANDARD | CANADA-SERVICE-DIGITAL</x:v>
      </x:c>
      <x:c r="H13" s="24" t="str">
        <x:v>À nommer</x:v>
      </x:c>
      <x:c r="I13" s="35" t="str">
        <x:f>IF(C13="ECHEC","STOP",IF(C13&lt;&gt;"VERIFIE","INCOMPLET",IF(ISNUMBER(E13),IF(AND(AND(LEN(TRIM(B13))&gt;=3,AND(IFERROR(SEARCH("FICTI",B13),0)=0,IFERROR(SEARCH("EXEMPLE",B13),0)=0,IFERROR(SEARCH("FIXTURE",B13),0)=0)),COUNTIF($B$6:$B$13,B13)=1,AND(LEN(TRIM(D13))&gt;=6,AND(IFERROR(SEARCH("FICTI",D13),0)=0,IFERROR(SEARCH("EXEMPLE",D13),0)=0,IFERROR(SEARCH("FIXTURE",D13),0)=0)),COUNTIF($D$6:$D$13,D13)=1,INT(E13)=E13,E13&gt;=36526,E13&lt;='01_DOSSIER'!C9,E13&lt;='01_DOSSIER'!C11,AND(LEN(TRIM(H13))&gt;=3,AND(IFERROR(SEARCH("FICTI",H13),0)=0,IFERROR(SEARCH("EXEMPLE",H13),0)=0,IFERROR(SEARCH("FIXTURE",H13),0)=0))),"PASS","INCOMPLET"),"INCOMPLET")))</x:f>
        <x:v>INCOMPLET</x:v>
      </x:c>
    </x:row>
    <x:row r="14">
      <x:c r="I14" s="46"/>
    </x:row>
    <x:row r="15" ht="48" customHeight="1">
      <x:c r="B15" s="20" t="str">
        <x:v>ÉTAT GLOBAL</x:v>
      </x:c>
      <x:c r="C15" s="20" t="str"/>
      <x:c r="D15" s="20" t="str"/>
      <x:c r="E15" s="20" t="str"/>
      <x:c r="F15" s="20" t="str"/>
      <x:c r="G15" s="20" t="str"/>
      <x:c r="H15" s="20" t="str"/>
      <x:c r="I15" s="34" t="str">
        <x:f>IF('07_RISQUES_STOP'!G11="STOP","SECURISER_D_ABORD",IF(OR(FALSE),"INCOMPLET",IF(OR('07_RISQUES_STOP'!G11&lt;&gt;"PASS",COUNTIF('02_SITUATIONS'!T6:T8,"INCOMPLET")&gt;0,COUNTIF('02_SITUATIONS'!M6:M8,"NON_TESTE")&gt;0,COUNTIF('02_SITUATIONS'!O6:O8,"NON_EXAMINE")&gt;0,COUNTIF('02_SITUATIONS'!T6:T8,"OBSERVER")+COUNTIF('02_SITUATIONS'!T6:T8,"CORRIGER_STANDARDISER")+COUNTIF('02_SITUATIONS'!T6:T8,"INTEGRER_AUTOMATISER")+COUNTIF('02_SITUATIONS'!T6:T8,"ACHETER_CONFIGURER")+COUNTIF('02_SITUATIONS'!T6:T8,"ETUDIER_SUR_MESURE")&lt;&gt;3,COUNTIF('03_BASELINE'!I6:I8,"PASS")&lt;&gt;3,COUNTIF('04_REGLES_EXCEPTIONS'!I6:I11,"PASS")&lt;&gt;6,COUNTIF('05_OPTIONS_TESTS'!N6:N11,"PASS")&lt;2,COUNTIF('05_OPTIONS_TESTS'!N6:N11,"PASS")+COUNTIF('05_OPTIONS_TESTS'!N6:N11,"NON_UTILISE")&lt;&gt;6,AND(COUNTIF('02_SITUATIONS'!T6:T8,"CORRIGER_STANDARDISER")&gt;0,COUNTIF('05_OPTIONS_TESTS'!D6:D11,"CORRIGER_STANDARDISER")=0),AND(COUNTIF('02_SITUATIONS'!T6:T8,"INTEGRER_AUTOMATISER")&gt;0,COUNTIF('05_OPTIONS_TESTS'!D6:D11,"INTEGRER_AUTOMATISER")=0),AND(COUNTIF('02_SITUATIONS'!T6:T8,"ACHETER_CONFIGURER")&gt;0,COUNTIF('05_OPTIONS_TESTS'!D6:D11,"ACHETER_CONFIGURER")=0),AND(COUNTIF('02_SITUATIONS'!T6:T8,"ETUDIER_SUR_MESURE")&gt;0,COUNTIF('05_OPTIONS_TESTS'!D6:D11,"ETUDIER_SUR_MESURE")=0),'00_MODE_EMPLOI'!C7&lt;&gt;"DONNEES_REELLES",'00_MODE_EMPLOI'!C8&lt;&gt;"OUI",'01_DOSSIER'!C12&lt;&gt;"OUI",AND('01_DOSSIER'!C13&lt;&gt;"OUI",'01_DOSSIER'!C13&lt;&gt;"NON"),COUNTIF(I6:I13,"PASS")&lt;&gt;8,COUNTIF('06_TCO_12_36_60'!I6:K11,"ND")&gt;0,COUNT('06_TCO_12_36_60'!I6:K11)&lt;&gt;3*COUNTIF('05_OPTIONS_TESTS'!N6:N11,"PASS"),COUNTIF('06_TCO_12_36_60'!I6:K11,"NON_UTILISE")&lt;&gt;3*COUNTIF('05_OPTIONS_TESTS'!N6:N11,"NON_UTILISE"),COUNTIF('01_DOSSIER'!G6:G12,"PASS")&lt;&gt;7,'01_DOSSIER'!G14&lt;&gt;"PASS",COUNTIF('08_PILOTE'!J6:J12,"PASS")&lt;&gt;7,COUNTA('12_SOURCES'!B6:B31)&lt;&gt;26),"INCOMPLET",IF('01_DOSSIER'!C13="OUI","DECISION_HUMAINE",IF(COUNTIF('02_SITUATIONS'!T6:T8,"OBSERVER")=3,"OBSERVER",IF(COUNTIF('02_SITUATIONS'!T6:T8,"CORRIGER_STANDARDISER")=3,"CORRIGER_STANDARDISER","COMPARER_PILOTER"))))))</x:f>
        <x:v>INCOMPLET</x:v>
      </x:c>
    </x:row>
    <x:row r="16" ht="48" customHeight="1">
      <x:c r="B16" s="21" t="str">
        <x:v>EXPORT FINAL</x:v>
      </x:c>
      <x:c r="C16" s="21" t="str"/>
      <x:c r="D16" s="21" t="str"/>
      <x:c r="E16" s="21" t="str"/>
      <x:c r="F16" s="21" t="str"/>
      <x:c r="G16" s="21" t="str"/>
      <x:c r="H16" s="21" t="str"/>
      <x:c r="I16" s="36" t="str">
        <x:f>IF(I15="DECISION_HUMAINE","AUTORISE","BLOQUE")</x:f>
        <x:v>BLOQUE</x:v>
      </x:c>
    </x:row>
  </x:sheetData>
  <x:mergeCells>
    <x:mergeCell ref="A1:I2"/>
    <x:mergeCell ref="A3:I3"/>
  </x:mergeCells>
  <x:conditionalFormatting sqref="I6:I16">
    <x:cfRule type="containsText" dxfId="36" priority="1" operator="containsText" text="STOP"/>
    <x:cfRule type="containsText" dxfId="37" priority="2" operator="containsText" text="BLOQUE"/>
    <x:cfRule type="containsText" dxfId="38" priority="3" operator="containsText" text="INCOMPLET"/>
    <x:cfRule type="containsText" dxfId="39" priority="4" operator="containsText" text="PASS"/>
  </x:conditionalFormatting>
  <x:dataValidations count="1">
    <x:dataValidation type="list" sqref="C6:C13">
      <x:formula1>"ND,DECLARE,VERIFIE,ECHEC"</x:formula1>
    </x:dataValidation>
  </x:dataValidations>
  <x:pageMargins left="0.7" right="0.7" top="0.75" bottom="0.75" header="0.3" footer="0.3"/>
  <x:legacyDrawing xmlns:r="http://schemas.openxmlformats.org/officeDocument/2006/relationships" r:id="Rf6b064c53acc4da1"/>
  <x:tableParts count="1">
    <x:tablePart xmlns:r="http://schemas.openxmlformats.org/officeDocument/2006/relationships" r:id="R03c2e42859704e56"/>
  </x:tableParts>
</x:worksheet>
</file>

<file path=xl/worksheets/sheet11.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24" hidden="0" customWidth="1"/>
    <x:col min="3" max="3" width="22" hidden="0" customWidth="1"/>
    <x:col min="4" max="4" width="36" hidden="0" customWidth="1"/>
    <x:col min="5" max="5" width="30" hidden="0" customWidth="1"/>
    <x:col min="6" max="6" width="24" hidden="0" customWidth="1"/>
    <x:col min="7" max="7" width="18" hidden="0" customWidth="1"/>
    <x:col min="8" max="8" width="3" hidden="0" customWidth="1"/>
  </x:cols>
  <x:sheetData>
    <x:row r="1" ht="28" customHeight="1">
      <x:c r="A1" s="4" t="str">
        <x:v>10 DICTIONNAIRE</x:v>
      </x:c>
      <x:c r="B1" s="4"/>
      <x:c r="C1" s="4"/>
      <x:c r="D1" s="4"/>
      <x:c r="E1" s="4"/>
      <x:c r="F1" s="4"/>
      <x:c r="G1" s="4"/>
      <x:c r="H1" s="4"/>
    </x:row>
    <x:row r="2" ht="28" customHeight="1">
      <x:c r="A2" s="4"/>
      <x:c r="B2" s="4"/>
      <x:c r="C2" s="4"/>
      <x:c r="D2" s="4"/>
      <x:c r="E2" s="4"/>
      <x:c r="F2" s="4"/>
      <x:c r="G2" s="4"/>
      <x:c r="H2" s="4"/>
    </x:row>
    <x:row r="3" ht="32" customHeight="1">
      <x:c r="A3" s="8" t="str">
        <x:v>Définitions, unités, inconnues et limites — EXEMPLE FICTIF — arrêté 2026-07-28</x:v>
      </x:c>
      <x:c r="B3" s="8"/>
      <x:c r="C3" s="8"/>
      <x:c r="D3" s="8"/>
      <x:c r="E3" s="8"/>
      <x:c r="F3" s="8"/>
      <x:c r="G3" s="8"/>
      <x:c r="H3" s="8"/>
    </x:row>
    <x:row r="5" ht="34" customHeight="1">
      <x:c r="B5" s="13" t="str">
        <x:v>Terme</x:v>
      </x:c>
      <x:c r="C5" s="13" t="str">
        <x:v>Unité / valeurs</x:v>
      </x:c>
      <x:c r="D5" s="13" t="str">
        <x:v>Définition</x:v>
      </x:c>
      <x:c r="E5" s="13" t="str">
        <x:v>Ne signifie pas</x:v>
      </x:c>
      <x:c r="F5" s="13" t="str">
        <x:v>Propriétaire</x:v>
      </x:c>
      <x:c r="G5" s="13" t="str">
        <x:v>Statut</x:v>
      </x:c>
    </x:row>
    <x:row r="6" ht="64" customHeight="1">
      <x:c r="B6" s="20" t="str">
        <x:v>ND</x:v>
      </x:c>
      <x:c r="C6" s="20" t="str">
        <x:v>texte</x:v>
      </x:c>
      <x:c r="D6" s="20" t="str">
        <x:v>Inconnu conservé explicitement</x:v>
      </x:c>
      <x:c r="E6" s="20" t="str">
        <x:v>Zéro</x:v>
      </x:c>
      <x:c r="F6" s="20" t="str">
        <x:v>Auteur du champ</x:v>
      </x:c>
      <x:c r="G6" s="20" t="str">
        <x:v>PASS</x:v>
      </x:c>
    </x:row>
    <x:row r="7" ht="64" customHeight="1">
      <x:c r="B7" s="20" t="str">
        <x:v>Temps actif</x:v>
      </x:c>
      <x:c r="C7" s="20" t="str">
        <x:v>minutes</x:v>
      </x:c>
      <x:c r="D7" s="20" t="str">
        <x:v>Travail réellement mobilisé</x:v>
      </x:c>
      <x:c r="E7" s="20" t="str">
        <x:v>Temps d’attente</x:v>
      </x:c>
      <x:c r="F7" s="20" t="str">
        <x:v>Responsable métier</x:v>
      </x:c>
      <x:c r="G7" s="20" t="str">
        <x:v>PASS</x:v>
      </x:c>
    </x:row>
    <x:row r="8" ht="64" customHeight="1">
      <x:c r="B8" s="20" t="str">
        <x:v>Temps d’attente</x:v>
      </x:c>
      <x:c r="C8" s="20" t="str">
        <x:v>minutes</x:v>
      </x:c>
      <x:c r="D8" s="20" t="str">
        <x:v>Délai entre deux étapes</x:v>
      </x:c>
      <x:c r="E8" s="20" t="str">
        <x:v>Salaire économisable</x:v>
      </x:c>
      <x:c r="F8" s="20" t="str">
        <x:v>Responsable métier</x:v>
      </x:c>
      <x:c r="G8" s="20" t="str">
        <x:v>PASS</x:v>
      </x:c>
    </x:row>
    <x:row r="9" ht="64" customHeight="1">
      <x:c r="B9" s="20" t="str">
        <x:v>TCO</x:v>
      </x:c>
      <x:c r="C9" s="20" t="str">
        <x:v>EUR / horizon</x:v>
      </x:c>
      <x:c r="D9" s="20" t="str">
        <x:v>Coût total comparable du cycle</x:v>
      </x:c>
      <x:c r="E9" s="20" t="str">
        <x:v>Prix initial seul</x:v>
      </x:c>
      <x:c r="F9" s="20" t="str">
        <x:v>Sponsor</x:v>
      </x:c>
      <x:c r="G9" s="20" t="str">
        <x:v>PASS</x:v>
      </x:c>
    </x:row>
    <x:row r="10" ht="64" customHeight="1">
      <x:c r="B10" s="20" t="str">
        <x:v>ERP</x:v>
      </x:c>
      <x:c r="C10" s="20" t="str">
        <x:v>catégorie</x:v>
      </x:c>
      <x:c r="D10" s="20" t="str">
        <x:v>Système intégré de fonctions et référentiels</x:v>
      </x:c>
      <x:c r="E10" s="20" t="str">
        <x:v>Sur-mesure automatique</x:v>
      </x:c>
      <x:c r="F10" s="20" t="str">
        <x:v>Direction</x:v>
      </x:c>
      <x:c r="G10" s="20" t="str">
        <x:v>PASS</x:v>
      </x:c>
    </x:row>
    <x:row r="11" ht="64" customHeight="1">
      <x:c r="B11" s="20" t="str">
        <x:v>COTS / standard</x:v>
      </x:c>
      <x:c r="C11" s="20" t="str">
        <x:v>catégorie</x:v>
      </x:c>
      <x:c r="D11" s="20" t="str">
        <x:v>Produit existant configuré</x:v>
      </x:c>
      <x:c r="E11" s="20" t="str">
        <x:v>Couverture prouvée</x:v>
      </x:c>
      <x:c r="F11" s="20" t="str">
        <x:v>Acheteur</x:v>
      </x:c>
      <x:c r="G11" s="20" t="str">
        <x:v>PASS</x:v>
      </x:c>
    </x:row>
    <x:row r="12" ht="64" customHeight="1">
      <x:c r="B12" s="20" t="str">
        <x:v>Low-code / no-code</x:v>
      </x:c>
      <x:c r="C12" s="20" t="str">
        <x:v>catégorie</x:v>
      </x:c>
      <x:c r="D12" s="20" t="str">
        <x:v>Plateforme de construction</x:v>
      </x:c>
      <x:c r="E12" s="20" t="str">
        <x:v>Absence de maintenance</x:v>
      </x:c>
      <x:c r="F12" s="20" t="str">
        <x:v>Owner plateforme</x:v>
      </x:c>
      <x:c r="G12" s="20" t="str">
        <x:v>PASS</x:v>
      </x:c>
    </x:row>
    <x:row r="13" ht="64" customHeight="1">
      <x:c r="B13" s="20" t="str">
        <x:v>RTO</x:v>
      </x:c>
      <x:c r="C13" s="20" t="str">
        <x:v>durée</x:v>
      </x:c>
      <x:c r="D13" s="20" t="str">
        <x:v>Temps de reprise dérivé de l’impact</x:v>
      </x:c>
      <x:c r="E13" s="20" t="str">
        <x:v>Délai éditeur générique</x:v>
      </x:c>
      <x:c r="F13" s="20" t="str">
        <x:v>Métier / exploitation</x:v>
      </x:c>
      <x:c r="G13" s="20" t="str">
        <x:v>PASS</x:v>
      </x:c>
    </x:row>
    <x:row r="14" ht="64" customHeight="1">
      <x:c r="B14" s="20" t="str">
        <x:v>RPO</x:v>
      </x:c>
      <x:c r="C14" s="20" t="str">
        <x:v>durée / opérations</x:v>
      </x:c>
      <x:c r="D14" s="20" t="str">
        <x:v>Point de données récupérable</x:v>
      </x:c>
      <x:c r="E14" s="20" t="str">
        <x:v>Fréquence de sauvegarde seule</x:v>
      </x:c>
      <x:c r="F14" s="20" t="str">
        <x:v>Data owner</x:v>
      </x:c>
      <x:c r="G14" s="20" t="str">
        <x:v>PASS</x:v>
      </x:c>
    </x:row>
    <x:row r="15" ht="64" customHeight="1">
      <x:c r="B15" s="20" t="str">
        <x:v>Capacité</x:v>
      </x:c>
      <x:c r="C15" s="20" t="str">
        <x:v>heures</x:v>
      </x:c>
      <x:c r="D15" s="20" t="str">
        <x:v>Temps potentiellement réaffectable</x:v>
      </x:c>
      <x:c r="E15" s="20" t="str">
        <x:v>Économie de trésorerie</x:v>
      </x:c>
      <x:c r="F15" s="20" t="str">
        <x:v>Direction</x:v>
      </x:c>
      <x:c r="G15" s="20" t="str">
        <x:v>PASS</x:v>
      </x:c>
    </x:row>
    <x:row r="16" ht="64" customHeight="1">
      <x:c r="B16" s="20" t="str">
        <x:v>Preuve déclarée</x:v>
      </x:c>
      <x:c r="C16" s="20" t="str">
        <x:v>DECLARE</x:v>
      </x:c>
      <x:c r="D16" s="20" t="str">
        <x:v>Affirmation non encore vérifiée</x:v>
      </x:c>
      <x:c r="E16" s="20" t="str">
        <x:v>Test réussi</x:v>
      </x:c>
      <x:c r="F16" s="20" t="str">
        <x:v>Auteur</x:v>
      </x:c>
      <x:c r="G16" s="20" t="str">
        <x:v>PASS</x:v>
      </x:c>
    </x:row>
    <x:row r="17" ht="64" customHeight="1">
      <x:c r="B17" s="21" t="str">
        <x:v>Décision humaine</x:v>
      </x:c>
      <x:c r="C17" s="21" t="str">
        <x:v>état</x:v>
      </x:c>
      <x:c r="D17" s="21" t="str">
        <x:v>Arbitrage signé avec limites et expiration</x:v>
      </x:c>
      <x:c r="E17" s="21" t="str">
        <x:v>Score automatique</x:v>
      </x:c>
      <x:c r="F17" s="21" t="str">
        <x:v>Sponsor</x:v>
      </x:c>
      <x:c r="G17" s="21" t="str">
        <x:v>PASS</x:v>
      </x:c>
    </x:row>
  </x:sheetData>
  <x:mergeCells>
    <x:mergeCell ref="A1:H2"/>
    <x:mergeCell ref="A3:H3"/>
  </x:mergeCells>
  <x:conditionalFormatting sqref="G6:G17">
    <x:cfRule type="containsText" dxfId="40" priority="1" operator="containsText" text="STOP"/>
    <x:cfRule type="containsText" dxfId="41" priority="2" operator="containsText" text="BLOQUE"/>
    <x:cfRule type="containsText" dxfId="42" priority="3" operator="containsText" text="INCOMPLET"/>
    <x:cfRule type="containsText" dxfId="43" priority="4" operator="containsText" text="PASS"/>
  </x:conditionalFormatting>
  <x:pageMargins left="0.7" right="0.7" top="0.75" bottom="0.75" header="0.3" footer="0.3"/>
  <x:tableParts count="1">
    <x:tablePart xmlns:r="http://schemas.openxmlformats.org/officeDocument/2006/relationships" r:id="R57b1c02c36ca4cfd"/>
  </x:tableParts>
</x:worksheet>
</file>

<file path=xl/worksheets/sheet12.xml><?xml version="1.0" encoding="utf-8"?>
<x:worksheet xmlns:x="http://schemas.openxmlformats.org/spreadsheetml/2006/main">
  <x:sheetViews>
    <x:sheetView showGridLines="0" workbookViewId="0">
      <x:pane ySplit="5" topLeftCell="A6" activePane="bottomLeft" state="frozen"/>
      <x:selection pane="bottomLeft"/>
    </x:sheetView>
  </x:sheetViews>
  <x:sheetFormatPr defaultRowHeight="15"/>
  <x:cols>
    <x:col min="1" max="1" width="3" hidden="0" customWidth="1"/>
    <x:col min="2" max="2" width="14" hidden="0" customWidth="1"/>
    <x:col min="3" max="3" width="34" hidden="0" customWidth="1"/>
    <x:col min="4" max="4" width="32" hidden="0" customWidth="1"/>
    <x:col min="5" max="5" width="26" hidden="0" customWidth="1"/>
    <x:col min="6" max="6" width="20" hidden="0" customWidth="1"/>
    <x:col min="7" max="7" width="18" hidden="0" customWidth="1"/>
    <x:col min="8" max="8" width="3" hidden="0" customWidth="1"/>
  </x:cols>
  <x:sheetData>
    <x:row r="1" ht="28" customHeight="1">
      <x:c r="A1" s="4" t="str">
        <x:v>11 CONTROLES</x:v>
      </x:c>
      <x:c r="B1" s="4"/>
      <x:c r="C1" s="4"/>
      <x:c r="D1" s="4"/>
      <x:c r="E1" s="4"/>
      <x:c r="F1" s="4"/>
      <x:c r="G1" s="4"/>
      <x:c r="H1" s="4"/>
    </x:row>
    <x:row r="2" ht="28" customHeight="1">
      <x:c r="A2" s="4"/>
      <x:c r="B2" s="4"/>
      <x:c r="C2" s="4"/>
      <x:c r="D2" s="4"/>
      <x:c r="E2" s="4"/>
      <x:c r="F2" s="4"/>
      <x:c r="G2" s="4"/>
      <x:c r="H2" s="4"/>
    </x:row>
    <x:row r="3" ht="32" customHeight="1">
      <x:c r="A3" s="8" t="str">
        <x:v>Contrôles indépendants du scénario fictif livré — EXEMPLE FICTIF — arrêté 2026-07-28</x:v>
      </x:c>
      <x:c r="B3" s="8"/>
      <x:c r="C3" s="8"/>
      <x:c r="D3" s="8"/>
      <x:c r="E3" s="8"/>
      <x:c r="F3" s="8"/>
      <x:c r="G3" s="8"/>
      <x:c r="H3" s="8"/>
    </x:row>
    <x:row r="5" ht="34" customHeight="1">
      <x:c r="B5" s="13" t="str">
        <x:v>ID</x:v>
      </x:c>
      <x:c r="C5" s="13" t="str">
        <x:v>Contrôle</x:v>
      </x:c>
      <x:c r="D5" s="13" t="str">
        <x:v>Attendu</x:v>
      </x:c>
      <x:c r="E5" s="13" t="str">
        <x:v>Observé</x:v>
      </x:c>
      <x:c r="F5" s="13" t="str">
        <x:v>Portée</x:v>
      </x:c>
      <x:c r="G5" s="13" t="str">
        <x:v>Statut</x:v>
      </x:c>
    </x:row>
    <x:row r="6" ht="56" customHeight="1">
      <x:c r="B6" s="20" t="str">
        <x:v>CTL-01</x:v>
      </x:c>
      <x:c r="C6" s="20" t="str">
        <x:v>Provenance reconnue</x:v>
      </x:c>
      <x:c r="D6" s="20" t="str">
        <x:v>EXEMPLE_FICTIF ou DONNEES_REELLES</x:v>
      </x:c>
      <x:c r="E6" s="20" t="str">
        <x:v>00_MODE_EMPLOI!C7</x:v>
      </x:c>
      <x:c r="F6" s="20" t="str">
        <x:v>Gouvernance</x:v>
      </x:c>
      <x:c r="G6" s="34" t="str">
        <x:f>IF(OR('00_MODE_EMPLOI'!C7="EXEMPLE_FICTIF",'00_MODE_EMPLOI'!C7="DONNEES_REELLES"),"PASS","STOP")</x:f>
        <x:v>PASS</x:v>
      </x:c>
    </x:row>
    <x:row r="7" ht="56" customHeight="1">
      <x:c r="B7" s="20" t="str">
        <x:v>CTL-02</x:v>
      </x:c>
      <x:c r="C7" s="20" t="str">
        <x:v>Confirmation du mode typée</x:v>
      </x:c>
      <x:c r="D7" s="20" t="str">
        <x:v>OUI ou NON</x:v>
      </x:c>
      <x:c r="E7" s="20" t="str">
        <x:v>00_MODE_EMPLOI!C8</x:v>
      </x:c>
      <x:c r="F7" s="20" t="str">
        <x:v>Gouvernance</x:v>
      </x:c>
      <x:c r="G7" s="34" t="str">
        <x:f>IF(OR('00_MODE_EMPLOI'!C8="OUI",'00_MODE_EMPLOI'!C8="NON"),"PASS","STOP")</x:f>
        <x:v>PASS</x:v>
      </x:c>
    </x:row>
    <x:row r="8" ht="56" customHeight="1">
      <x:c r="B8" s="20" t="str">
        <x:v>CTL-03</x:v>
      </x:c>
      <x:c r="C8" s="20" t="str">
        <x:v>Confirmations dossier typées</x:v>
      </x:c>
      <x:c r="D8" s="20" t="str">
        <x:v>OUI/NON x2</x:v>
      </x:c>
      <x:c r="E8" s="20" t="str">
        <x:v>01_DOSSIER!C12:C13</x:v>
      </x:c>
      <x:c r="F8" s="20" t="str">
        <x:v>Gouvernance</x:v>
      </x:c>
      <x:c r="G8" s="34" t="str">
        <x:f>IF(AND(OR('01_DOSSIER'!C12="OUI",'01_DOSSIER'!C12="NON"),OR('01_DOSSIER'!C13="OUI",'01_DOSSIER'!C13="NON")),"PASS","STOP")</x:f>
        <x:v>PASS</x:v>
      </x:c>
    </x:row>
    <x:row r="9" ht="56" customHeight="1">
      <x:c r="B9" s="20" t="str">
        <x:v>CTL-04</x:v>
      </x:c>
      <x:c r="C9" s="20" t="str">
        <x:v>Gouvernance dossier</x:v>
      </x:c>
      <x:c r="D9" s="20" t="str">
        <x:v>7 PASS + expiration PASS</x:v>
      </x:c>
      <x:c r="E9" s="20" t="str">
        <x:v>01_DOSSIER!G6:G14</x:v>
      </x:c>
      <x:c r="F9" s="20" t="str">
        <x:v>Gouvernance</x:v>
      </x:c>
      <x:c r="G9" s="34" t="str">
        <x:f>IF(AND(COUNTIF('01_DOSSIER'!G6:G12,"PASS")=7,'01_DOSSIER'!G14="PASS"),"PASS","STOP")</x:f>
        <x:v>STOP</x:v>
      </x:c>
    </x:row>
    <x:row r="10" ht="56" customHeight="1">
      <x:c r="B10" s="20" t="str">
        <x:v>CTL-05</x:v>
      </x:c>
      <x:c r="C10" s="20" t="str">
        <x:v>Trois situations instruites</x:v>
      </x:c>
      <x:c r="D10" s="20" t="str">
        <x:v>3 voies canoniques</x:v>
      </x:c>
      <x:c r="E10" s="20" t="str">
        <x:v>02_SITUATIONS!T6:T8</x:v>
      </x:c>
      <x:c r="F10" s="20" t="str">
        <x:v>Structure</x:v>
      </x:c>
      <x:c r="G10" s="34" t="str">
        <x:f>IF(COUNTIF('02_SITUATIONS'!T6:T8,"OBSERVER")+COUNTIF('02_SITUATIONS'!T6:T8,"CORRIGER_STANDARDISER")+COUNTIF('02_SITUATIONS'!T6:T8,"INTEGRER_AUTOMATISER")+COUNTIF('02_SITUATIONS'!T6:T8,"ACHETER_CONFIGURER")+COUNTIF('02_SITUATIONS'!T6:T8,"ETUDIER_SUR_MESURE")=3,"PASS","STOP")</x:f>
        <x:v>STOP</x:v>
      </x:c>
    </x:row>
    <x:row r="11" ht="56" customHeight="1">
      <x:c r="B11" s="20" t="str">
        <x:v>CTL-06</x:v>
      </x:c>
      <x:c r="C11" s="20" t="str">
        <x:v>Identités situations distinctes</x:v>
      </x:c>
      <x:c r="D11" s="20" t="str">
        <x:v>IDs, titres, preuves uniques</x:v>
      </x:c>
      <x:c r="E11" s="20" t="str">
        <x:v>02_SITUATIONS!B6:E8</x:v>
      </x:c>
      <x:c r="F11" s="20" t="str">
        <x:v>Traçabilité</x:v>
      </x:c>
      <x:c r="G11" s="34" t="str">
        <x:f>IF(AND(COUNTIF('02_SITUATIONS'!B6:B8,'02_SITUATIONS'!B6)=1,COUNTIF('02_SITUATIONS'!B6:B8,'02_SITUATIONS'!B7)=1,COUNTIF('02_SITUATIONS'!B6:B8,'02_SITUATIONS'!B8)=1,COUNTIF('02_SITUATIONS'!C6:C8,'02_SITUATIONS'!C6)=1,COUNTIF('02_SITUATIONS'!C6:C8,'02_SITUATIONS'!C7)=1,COUNTIF('02_SITUATIONS'!C6:C8,'02_SITUATIONS'!C8)=1,COUNTIF('02_SITUATIONS'!E6:E8,'02_SITUATIONS'!E6)=1,COUNTIF('02_SITUATIONS'!E6:E8,'02_SITUATIONS'!E7)=1,COUNTIF('02_SITUATIONS'!E6:E8,'02_SITUATIONS'!E8)=1),"PASS","STOP")</x:f>
        <x:v>PASS</x:v>
      </x:c>
    </x:row>
    <x:row r="12" ht="56" customHeight="1">
      <x:c r="B12" s="20" t="str">
        <x:v>CTL-07</x:v>
      </x:c>
      <x:c r="C12" s="20" t="str">
        <x:v>Baseline vérifiée</x:v>
      </x:c>
      <x:c r="D12" s="20" t="str">
        <x:v>3 PASS</x:v>
      </x:c>
      <x:c r="E12" s="20" t="str">
        <x:v>03_BASELINE!I6:I8</x:v>
      </x:c>
      <x:c r="F12" s="20" t="str">
        <x:v>Mesure</x:v>
      </x:c>
      <x:c r="G12" s="34" t="str">
        <x:f>IF(COUNTIF('03_BASELINE'!I6:I8,"PASS")=3,"PASS","STOP")</x:f>
        <x:v>STOP</x:v>
      </x:c>
    </x:row>
    <x:row r="13" ht="56" customHeight="1">
      <x:c r="B13" s="20" t="str">
        <x:v>CTL-08</x:v>
      </x:c>
      <x:c r="C13" s="20" t="str">
        <x:v>Règles vérifiées</x:v>
      </x:c>
      <x:c r="D13" s="20" t="str">
        <x:v>6 PASS</x:v>
      </x:c>
      <x:c r="E13" s="20" t="str">
        <x:v>04_REGLES_EXCEPTIONS!I6:I11</x:v>
      </x:c>
      <x:c r="F13" s="20" t="str">
        <x:v>Règles</x:v>
      </x:c>
      <x:c r="G13" s="34" t="str">
        <x:f>IF(COUNTIF('04_REGLES_EXCEPTIONS'!I6:I11,"PASS")=6,"PASS","STOP")</x:f>
        <x:v>STOP</x:v>
      </x:c>
    </x:row>
    <x:row r="14" ht="56" customHeight="1">
      <x:c r="B14" s="20" t="str">
        <x:v>CTL-09</x:v>
      </x:c>
      <x:c r="C14" s="20" t="str">
        <x:v>États options reconnus</x:v>
      </x:c>
      <x:c r="D14" s="20" t="str">
        <x:v>6 états canoniques</x:v>
      </x:c>
      <x:c r="E14" s="20" t="str">
        <x:v>05_OPTIONS_TESTS!N6:N11</x:v>
      </x:c>
      <x:c r="F14" s="20" t="str">
        <x:v>Options</x:v>
      </x:c>
      <x:c r="G14" s="34" t="str">
        <x:f>IF(COUNTIF('05_OPTIONS_TESTS'!N6:N11,"PASS")+COUNTIF('05_OPTIONS_TESTS'!N6:N11,"STOP")+COUNTIF('05_OPTIONS_TESTS'!N6:N11,"INCOMPLET")+COUNTIF('05_OPTIONS_TESTS'!N6:N11,"NON_UTILISE")=6,"PASS","STOP")</x:f>
        <x:v>PASS</x:v>
      </x:c>
    </x:row>
    <x:row r="15" ht="56" customHeight="1">
      <x:c r="B15" s="20" t="str">
        <x:v>CTL-10</x:v>
      </x:c>
      <x:c r="C15" s="20" t="str">
        <x:v>Deux à six options actives</x:v>
      </x:c>
      <x:c r="D15" s="20" t="str">
        <x:v>&gt;=2 PASS, reste NON_UTILISE</x:v>
      </x:c>
      <x:c r="E15" s="20" t="str">
        <x:v>05_OPTIONS_TESTS!N6:N11</x:v>
      </x:c>
      <x:c r="F15" s="20" t="str">
        <x:v>Options</x:v>
      </x:c>
      <x:c r="G15" s="34" t="str">
        <x:f>IF(AND(COUNTIF('05_OPTIONS_TESTS'!N6:N11,"PASS")&gt;=2,COUNTIF('05_OPTIONS_TESTS'!N6:N11,"PASS")+COUNTIF('05_OPTIONS_TESTS'!N6:N11,"NON_UTILISE")=6),"PASS","STOP")</x:f>
        <x:v>STOP</x:v>
      </x:c>
    </x:row>
    <x:row r="16" ht="56" customHeight="1">
      <x:c r="B16" s="20" t="str">
        <x:v>CTL-11</x:v>
      </x:c>
      <x:c r="C16" s="20" t="str">
        <x:v>Couverture des actions</x:v>
      </x:c>
      <x:c r="D16" s="20" t="str">
        <x:v>Chaque voie a une option</x:v>
      </x:c>
      <x:c r="E16" s="20" t="str">
        <x:v>02_SITUATIONS!T6:T8 ↔ 05_OPTIONS_TESTS!D6:D11</x:v>
      </x:c>
      <x:c r="F16" s="20" t="str">
        <x:v>Options</x:v>
      </x:c>
      <x:c r="G16" s="34" t="str">
        <x:f>IF(OR(AND(COUNTIF('02_SITUATIONS'!T6:T8,"CORRIGER_STANDARDISER")&gt;0,COUNTIF('05_OPTIONS_TESTS'!D6:D11,"CORRIGER_STANDARDISER")=0),AND(COUNTIF('02_SITUATIONS'!T6:T8,"INTEGRER_AUTOMATISER")&gt;0,COUNTIF('05_OPTIONS_TESTS'!D6:D11,"INTEGRER_AUTOMATISER")=0),AND(COUNTIF('02_SITUATIONS'!T6:T8,"ACHETER_CONFIGURER")&gt;0,COUNTIF('05_OPTIONS_TESTS'!D6:D11,"ACHETER_CONFIGURER")=0),AND(COUNTIF('02_SITUATIONS'!T6:T8,"ETUDIER_SUR_MESURE")&gt;0,COUNTIF('05_OPTIONS_TESTS'!D6:D11,"ETUDIER_SUR_MESURE")=0)),"STOP","PASS")</x:f>
        <x:v>PASS</x:v>
      </x:c>
    </x:row>
    <x:row r="17" ht="56" customHeight="1">
      <x:c r="B17" s="20" t="str">
        <x:v>CTL-12</x:v>
      </x:c>
      <x:c r="C17" s="20" t="str">
        <x:v>TCO complets ou non utilisés</x:v>
      </x:c>
      <x:c r="D17" s="20" t="str">
        <x:v>3 horizons par option active</x:v>
      </x:c>
      <x:c r="E17" s="20" t="str">
        <x:v>06_TCO_12_36_60!I6:K11</x:v>
      </x:c>
      <x:c r="F17" s="20" t="str">
        <x:v>TCO</x:v>
      </x:c>
      <x:c r="G17" s="34" t="str">
        <x:f>IF(AND(COUNTIF('06_TCO_12_36_60'!I6:K11,"ND")=0,COUNT('06_TCO_12_36_60'!I6:K11)=3*COUNTIF('05_OPTIONS_TESTS'!N6:N11,"PASS"),COUNTIF('06_TCO_12_36_60'!I6:K11,"NON_UTILISE")=3*COUNTIF('05_OPTIONS_TESTS'!N6:N11,"NON_UTILISE")),"PASS","STOP")</x:f>
        <x:v>STOP</x:v>
      </x:c>
    </x:row>
    <x:row r="18" ht="56" customHeight="1">
      <x:c r="B18" s="20" t="str">
        <x:v>CTL-13</x:v>
      </x:c>
      <x:c r="C18" s="20" t="str">
        <x:v>Correspondance options / TCO</x:v>
      </x:c>
      <x:c r="D18" s="20" t="str">
        <x:v>6 lignes alignées</x:v>
      </x:c>
      <x:c r="E18" s="20" t="str">
        <x:v>05_OPTIONS_TESTS!B6:C11 ↔ 06_TCO_12_36_60!B6:C11</x:v>
      </x:c>
      <x:c r="F18" s="20" t="str">
        <x:v>TCO</x:v>
      </x:c>
      <x:c r="G18" s="34" t="str">
        <x:f>IF(AND('05_OPTIONS_TESTS'!B6='06_TCO_12_36_60'!B6,'05_OPTIONS_TESTS'!C6='06_TCO_12_36_60'!C6,'05_OPTIONS_TESTS'!B7='06_TCO_12_36_60'!B7,'05_OPTIONS_TESTS'!C7='06_TCO_12_36_60'!C7,'05_OPTIONS_TESTS'!B8='06_TCO_12_36_60'!B8,'05_OPTIONS_TESTS'!C8='06_TCO_12_36_60'!C8,'05_OPTIONS_TESTS'!B9='06_TCO_12_36_60'!B9,'05_OPTIONS_TESTS'!C9='06_TCO_12_36_60'!C9,'05_OPTIONS_TESTS'!B10='06_TCO_12_36_60'!B10,'05_OPTIONS_TESTS'!C10='06_TCO_12_36_60'!C10,'05_OPTIONS_TESTS'!B11='06_TCO_12_36_60'!B11,'05_OPTIONS_TESTS'!C11='06_TCO_12_36_60'!C11),"PASS","STOP")</x:f>
        <x:v>PASS</x:v>
      </x:c>
    </x:row>
    <x:row r="19" ht="56" customHeight="1">
      <x:c r="B19" s="20" t="str">
        <x:v>CTL-14</x:v>
      </x:c>
      <x:c r="C19" s="20" t="str">
        <x:v>Porte sécurité reconnue</x:v>
      </x:c>
      <x:c r="D19" s="20" t="str">
        <x:v>PASS / STOP / INCOMPLET</x:v>
      </x:c>
      <x:c r="E19" s="20" t="str">
        <x:v>07_RISQUES_STOP!G11</x:v>
      </x:c>
      <x:c r="F19" s="20" t="str">
        <x:v>Sécurité</x:v>
      </x:c>
      <x:c r="G19" s="34" t="str">
        <x:f>IF(OR('07_RISQUES_STOP'!G11="PASS",'07_RISQUES_STOP'!G11="STOP",'07_RISQUES_STOP'!G11="INCOMPLET"),"PASS","STOP")</x:f>
        <x:v>PASS</x:v>
      </x:c>
    </x:row>
    <x:row r="20" ht="56" customHeight="1">
      <x:c r="B20" s="20" t="str">
        <x:v>CTL-15</x:v>
      </x:c>
      <x:c r="C20" s="20" t="str">
        <x:v>Porte sécurité ouverte</x:v>
      </x:c>
      <x:c r="D20" s="20" t="str">
        <x:v>PASS</x:v>
      </x:c>
      <x:c r="E20" s="20" t="str">
        <x:v>07_RISQUES_STOP!G11</x:v>
      </x:c>
      <x:c r="F20" s="20" t="str">
        <x:v>Sécurité</x:v>
      </x:c>
      <x:c r="G20" s="34" t="str">
        <x:f>IF('07_RISQUES_STOP'!G11="PASS","PASS","STOP")</x:f>
        <x:v>PASS</x:v>
      </x:c>
    </x:row>
    <x:row r="21" ht="56" customHeight="1">
      <x:c r="B21" s="20" t="str">
        <x:v>CTL-16</x:v>
      </x:c>
      <x:c r="C21" s="20" t="str">
        <x:v>Plan de pilote documenté</x:v>
      </x:c>
      <x:c r="D21" s="20" t="str">
        <x:v>7 jalons PASS</x:v>
      </x:c>
      <x:c r="E21" s="20" t="str">
        <x:v>08_PILOTE!J6:J12</x:v>
      </x:c>
      <x:c r="F21" s="20" t="str">
        <x:v>Pilote</x:v>
      </x:c>
      <x:c r="G21" s="34" t="str">
        <x:f>IF(COUNTIF('08_PILOTE'!J6:J12,"PASS")=7,"PASS","STOP")</x:f>
        <x:v>STOP</x:v>
      </x:c>
    </x:row>
    <x:row r="22" ht="56" customHeight="1">
      <x:c r="B22" s="20" t="str">
        <x:v>CTL-17</x:v>
      </x:c>
      <x:c r="C22" s="20" t="str">
        <x:v>Huit preuves</x:v>
      </x:c>
      <x:c r="D22" s="20" t="str">
        <x:v>8</x:v>
      </x:c>
      <x:c r="E22" s="20" t="str">
        <x:v>09_DECISION!B6:B13</x:v>
      </x:c>
      <x:c r="F22" s="20" t="str">
        <x:v>Structure</x:v>
      </x:c>
      <x:c r="G22" s="34" t="str">
        <x:f>IF(COUNTA('09_DECISION'!B6:B13)=8,"PASS","STOP")</x:f>
        <x:v>PASS</x:v>
      </x:c>
    </x:row>
    <x:row r="23" ht="56" customHeight="1">
      <x:c r="B23" s="20" t="str">
        <x:v>CTL-18</x:v>
      </x:c>
      <x:c r="C23" s="20" t="str">
        <x:v>États preuves reconnus</x:v>
      </x:c>
      <x:c r="D23" s="20" t="str">
        <x:v>8 états canoniques</x:v>
      </x:c>
      <x:c r="E23" s="20" t="str">
        <x:v>09_DECISION!I6:I13</x:v>
      </x:c>
      <x:c r="F23" s="20" t="str">
        <x:v>Preuves</x:v>
      </x:c>
      <x:c r="G23" s="34" t="str">
        <x:f>IF(COUNTIF('09_DECISION'!I6:I13,"PASS")+COUNTIF('09_DECISION'!I6:I13,"STOP")+COUNTIF('09_DECISION'!I6:I13,"INCOMPLET")=8,"PASS","STOP")</x:f>
        <x:v>PASS</x:v>
      </x:c>
    </x:row>
    <x:row r="24" ht="56" customHeight="1">
      <x:c r="B24" s="20" t="str">
        <x:v>CTL-19</x:v>
      </x:c>
      <x:c r="C24" s="20" t="str">
        <x:v>Huit preuves vérifiées</x:v>
      </x:c>
      <x:c r="D24" s="20" t="str">
        <x:v>8 PASS</x:v>
      </x:c>
      <x:c r="E24" s="20" t="str">
        <x:v>09_DECISION!I6:I13</x:v>
      </x:c>
      <x:c r="F24" s="20" t="str">
        <x:v>Preuves</x:v>
      </x:c>
      <x:c r="G24" s="34" t="str">
        <x:f>IF(COUNTIF('09_DECISION'!I6:I13,"PASS")=8,"PASS","STOP")</x:f>
        <x:v>STOP</x:v>
      </x:c>
    </x:row>
    <x:row r="25" ht="56" customHeight="1">
      <x:c r="B25" s="20" t="str">
        <x:v>CTL-20</x:v>
      </x:c>
      <x:c r="C25" s="20" t="str">
        <x:v>Chronologie cohérente</x:v>
      </x:c>
      <x:c r="D25" s="20" t="str">
        <x:v>Arrêté, revue, expiration PASS</x:v>
      </x:c>
      <x:c r="E25" s="20" t="str">
        <x:v>01_DOSSIER!G9,G11,G14</x:v>
      </x:c>
      <x:c r="F25" s="20" t="str">
        <x:v>Dates</x:v>
      </x:c>
      <x:c r="G25" s="34" t="str">
        <x:f>IF(AND('01_DOSSIER'!G9="PASS",'01_DOSSIER'!G11="PASS",'01_DOSSIER'!G14="PASS"),"PASS","STOP")</x:f>
        <x:v>STOP</x:v>
      </x:c>
    </x:row>
    <x:row r="26" ht="56" customHeight="1">
      <x:c r="B26" s="20" t="str">
        <x:v>CTL-21</x:v>
      </x:c>
      <x:c r="C26" s="20" t="str">
        <x:v>État global reconnu</x:v>
      </x:c>
      <x:c r="D26" s="20" t="str">
        <x:v>État canonique</x:v>
      </x:c>
      <x:c r="E26" s="20" t="str">
        <x:v>09_DECISION!I15</x:v>
      </x:c>
      <x:c r="F26" s="20" t="str">
        <x:v>Fail-closed</x:v>
      </x:c>
      <x:c r="G26" s="34" t="str">
        <x:f>IF(OR('09_DECISION'!I15="SECURISER_D_ABORD",'09_DECISION'!I15="INCOMPLET",'09_DECISION'!I15="OBSERVER",'09_DECISION'!I15="CORRIGER_STANDARDISER",'09_DECISION'!I15="COMPARER_PILOTER",'09_DECISION'!I15="DECISION_HUMAINE"),"PASS","STOP")</x:f>
        <x:v>PASS</x:v>
      </x:c>
    </x:row>
    <x:row r="27" ht="56" customHeight="1">
      <x:c r="B27" s="20" t="str">
        <x:v>CTL-22</x:v>
      </x:c>
      <x:c r="C27" s="20" t="str">
        <x:v>Export cohérent avec l’état</x:v>
      </x:c>
      <x:c r="D27" s="20" t="str">
        <x:v>AUTORISE seulement si décision humaine</x:v>
      </x:c>
      <x:c r="E27" s="20" t="str">
        <x:v>09_DECISION!I15:I16</x:v>
      </x:c>
      <x:c r="F27" s="20" t="str">
        <x:v>Fail-closed</x:v>
      </x:c>
      <x:c r="G27" s="34" t="str">
        <x:f>IF(OR(AND('09_DECISION'!I15="DECISION_HUMAINE",'09_DECISION'!I16="AUTORISE"),AND('09_DECISION'!I15&lt;&gt;"DECISION_HUMAINE",'09_DECISION'!I16="BLOQUE")),"PASS","STOP")</x:f>
        <x:v>PASS</x:v>
      </x:c>
    </x:row>
    <x:row r="28" ht="56" customHeight="1">
      <x:c r="B28" s="20" t="str">
        <x:v>CTL-23</x:v>
      </x:c>
      <x:c r="C28" s="20" t="str">
        <x:v>Exemple livré bloqué</x:v>
      </x:c>
      <x:c r="D28" s="20" t="str">
        <x:v>BLOQUE avant données réelles</x:v>
      </x:c>
      <x:c r="E28" s="20" t="str">
        <x:v>00_MODE_EMPLOI!C7 + 09_DECISION!I16</x:v>
      </x:c>
      <x:c r="F28" s="20" t="str">
        <x:v>Fail-closed</x:v>
      </x:c>
      <x:c r="G28" s="34" t="str">
        <x:f>IF(OR('00_MODE_EMPLOI'!C7="DONNEES_REELLES",'09_DECISION'!I16="BLOQUE"),"PASS","STOP")</x:f>
        <x:v>PASS</x:v>
      </x:c>
    </x:row>
    <x:row r="29" ht="56" customHeight="1">
      <x:c r="B29" s="21" t="str">
        <x:v>CTL-24</x:v>
      </x:c>
      <x:c r="C29" s="21" t="str">
        <x:v>Sources officielles bornées</x:v>
      </x:c>
      <x:c r="D29" s="21" t="str">
        <x:v>26</x:v>
      </x:c>
      <x:c r="E29" s="21" t="str">
        <x:v>12_SOURCES!B6:B31</x:v>
      </x:c>
      <x:c r="F29" s="21" t="str">
        <x:v>Sources</x:v>
      </x:c>
      <x:c r="G29" s="36" t="str">
        <x:f>IF(COUNTA('12_SOURCES'!B6:B31)=26,"PASS","STOP")</x:f>
        <x:v>PASS</x:v>
      </x:c>
    </x:row>
  </x:sheetData>
  <x:mergeCells>
    <x:mergeCell ref="A1:H2"/>
    <x:mergeCell ref="A3:H3"/>
  </x:mergeCells>
  <x:conditionalFormatting sqref="G6:G29">
    <x:cfRule type="containsText" dxfId="44" priority="1" operator="containsText" text="STOP"/>
    <x:cfRule type="containsText" dxfId="45" priority="2" operator="containsText" text="BLOQUE"/>
    <x:cfRule type="containsText" dxfId="46" priority="3" operator="containsText" text="INCOMPLET"/>
    <x:cfRule type="containsText" dxfId="47" priority="4" operator="containsText" text="PASS"/>
  </x:conditionalFormatting>
  <x:pageMargins left="0.7" right="0.7" top="0.75" bottom="0.75" header="0.3" footer="0.3"/>
  <x:tableParts count="1">
    <x:tablePart xmlns:r="http://schemas.openxmlformats.org/officeDocument/2006/relationships" r:id="Rba5ad0df610044f8"/>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election pane="bottomRight"/>
    </x:sheetView>
  </x:sheetViews>
  <x:sheetFormatPr defaultRowHeight="15"/>
  <x:cols>
    <x:col min="1" max="1" width="3" hidden="0" customWidth="1"/>
    <x:col min="2" max="2" width="20" hidden="0" customWidth="1"/>
    <x:col min="3" max="3" width="25" hidden="0" customWidth="1"/>
    <x:col min="4" max="4" width="34" hidden="0" customWidth="1"/>
    <x:col min="5" max="5" width="44" hidden="0" customWidth="1"/>
    <x:col min="6" max="6" width="15" hidden="0" customWidth="1"/>
    <x:col min="7" max="7" width="50" hidden="0" customWidth="1"/>
    <x:col min="8" max="8" width="50" hidden="0" customWidth="1"/>
    <x:col min="9" max="9" width="18" hidden="0" customWidth="1"/>
  </x:cols>
  <x:sheetData>
    <x:row r="1" ht="28" customHeight="1">
      <x:c r="A1" s="4" t="str">
        <x:v>12 SOURCES</x:v>
      </x:c>
      <x:c r="B1" s="4"/>
      <x:c r="C1" s="4"/>
      <x:c r="D1" s="4"/>
      <x:c r="E1" s="4"/>
      <x:c r="F1" s="4"/>
      <x:c r="G1" s="4"/>
      <x:c r="H1" s="4"/>
      <x:c r="I1" s="4"/>
    </x:row>
    <x:row r="2" ht="28" customHeight="1">
      <x:c r="A2" s="4"/>
      <x:c r="B2" s="4"/>
      <x:c r="C2" s="4"/>
      <x:c r="D2" s="4"/>
      <x:c r="E2" s="4"/>
      <x:c r="F2" s="4"/>
      <x:c r="G2" s="4"/>
      <x:c r="H2" s="4"/>
      <x:c r="I2" s="4"/>
    </x:row>
    <x:row r="3" ht="32" customHeight="1">
      <x:c r="A3" s="8" t="str">
        <x:v>Corpus officiel international et limites d’usage — EXEMPLE FICTIF — arrêté 2026-07-28</x:v>
      </x:c>
      <x:c r="B3" s="8"/>
      <x:c r="C3" s="8"/>
      <x:c r="D3" s="8"/>
      <x:c r="E3" s="8"/>
      <x:c r="F3" s="8"/>
      <x:c r="G3" s="8"/>
      <x:c r="H3" s="8"/>
      <x:c r="I3" s="8"/>
    </x:row>
    <x:row r="5" ht="34" customHeight="1">
      <x:c r="B5" s="13" t="str">
        <x:v>ID</x:v>
      </x:c>
      <x:c r="C5" s="13" t="str">
        <x:v>Éditeur</x:v>
      </x:c>
      <x:c r="D5" s="13" t="str">
        <x:v>Titre</x:v>
      </x:c>
      <x:c r="E5" s="13" t="str">
        <x:v>URL</x:v>
      </x:c>
      <x:c r="F5" s="13" t="str">
        <x:v>Consulté le</x:v>
      </x:c>
      <x:c r="G5" s="13" t="str">
        <x:v>Portée</x:v>
      </x:c>
      <x:c r="H5" s="13" t="str">
        <x:v>Limites</x:v>
      </x:c>
      <x:c r="I5" s="13" t="str">
        <x:v>Statut</x:v>
      </x:c>
    </x:row>
    <x:row r="6" ht="104" customHeight="1">
      <x:c r="B6" s="20" t="str">
        <x:v>GOVUK-CHOOSE-TECH</x:v>
      </x:c>
      <x:c r="C6" s="20" t="str">
        <x:v>Government Digital Service</x:v>
      </x:c>
      <x:c r="D6" s="20" t="str">
        <x:v>Choosing technology: an introduction</x:v>
      </x:c>
      <x:c r="E6" s="47" t="str">
        <x:v>https://www.gov.uk/service-manual/technology/choosing-technology-an-introduction</x:v>
      </x:c>
      <x:c r="F6" s="20" t="str">
        <x:v>2026-07-28</x:v>
      </x:c>
      <x:c r="G6" s="20" t="str">
        <x:v>Cadre de choix technologique qui demande de cartographier ce qui doit être construit, acheté ou réutilisé, de prototyper les intégrations et de préserver la possibilité de changer.</x:v>
      </x:c>
      <x:c r="H6" s="20" t="str">
        <x:v>Référentiel destiné aux services publics britanniques : il inspire la méthode de décision mais ne crée aucune obligation pour une entreprise française et ne choisit aucun produit.</x:v>
      </x:c>
      <x:c r="I6" s="20" t="str">
        <x:v>VERIFIE</x:v>
      </x:c>
    </x:row>
    <x:row r="7" ht="104" customHeight="1">
      <x:c r="B7" s="20" t="str">
        <x:v>GOVUK-RIGHT-TOOLS</x:v>
      </x:c>
      <x:c r="C7" s="20" t="str">
        <x:v>Government Digital Service</x:v>
      </x:c>
      <x:c r="D7" s="20" t="str">
        <x:v>11. Choose the right tools and technology</x:v>
      </x:c>
      <x:c r="E7" s="47" t="str">
        <x:v>https://www.gov.uk/service-manual/service-standard/point-11-choose-the-right-tools-and-technology</x:v>
      </x:c>
      <x:c r="F7" s="20" t="str">
        <x:v>2026-07-28</x:v>
      </x:c>
      <x:c r="G7" s="20" t="str">
        <x:v>Demande d'expliquer les arbitrages construire ou acheter, les coûts de vie, la soutenabilité, les contraintes et la capacité à faire évoluer le service.</x:v>
      </x:c>
      <x:c r="H7" s="20" t="str">
        <x:v>Standard public britannique, non cahier des charges privé et non barème de rentabilité ; les critères doivent être adaptés au contexte, aux risques et aux responsabilités de l'entreprise.</x:v>
      </x:c>
      <x:c r="I7" s="20" t="str">
        <x:v>VERIFIE</x:v>
      </x:c>
    </x:row>
    <x:row r="8" ht="104" customHeight="1">
      <x:c r="B8" s="20" t="str">
        <x:v>GOVUK-USER-NEEDS</x:v>
      </x:c>
      <x:c r="C8" s="20" t="str">
        <x:v>Government Digital Service</x:v>
      </x:c>
      <x:c r="D8" s="20" t="str">
        <x:v>Learning about users and their needs</x:v>
      </x:c>
      <x:c r="E8" s="47" t="str">
        <x:v>https://www.gov.uk/service-manual/user-research/start-by-learning-user-needs</x:v>
      </x:c>
      <x:c r="F8" s="20" t="str">
        <x:v>2026-07-28</x:v>
      </x:c>
      <x:c r="G8" s="20" t="str">
        <x:v>Distingue le besoin d'un utilisateur de la solution envisagée et recommande d'observer les personnes, leurs tâches actuelles et les problèmes réellement rencontrés.</x:v>
      </x:c>
      <x:c r="H8" s="20" t="str">
        <x:v>Guide de recherche utilisateur, pas méthode comptable ni preuve qu'un logiciel est nécessaire ; trois situations restent un point de départ et non un échantillon statistique.</x:v>
      </x:c>
      <x:c r="I8" s="20" t="str">
        <x:v>VERIFIE</x:v>
      </x:c>
    </x:row>
    <x:row r="9" ht="104" customHeight="1">
      <x:c r="B9" s="20" t="str">
        <x:v>GOVUK-COTS</x:v>
      </x:c>
      <x:c r="C9" s="20" t="str">
        <x:v>Government Digital Service</x:v>
      </x:c>
      <x:c r="D9" s="20" t="str">
        <x:v>Using commercial-off-the-shelf (COTS) products and services</x:v>
      </x:c>
      <x:c r="E9" s="47" t="str">
        <x:v>https://www.gov.uk/service-manual/technology/commercial-off-the-shelf-products-and-services</x:v>
      </x:c>
      <x:c r="F9" s="20" t="str">
        <x:v>2026-07-28</x:v>
      </x:c>
      <x:c r="G9" s="20" t="str">
        <x:v>Demande de comprendre le problème en discovery, d'essayer plusieurs options en alpha et d'intégrer accessibilité, besoins utilisateurs, soutenabilité et cycle de projet dans l'évaluation d'un produit standard.</x:v>
      </x:c>
      <x:c r="H9" s="20" t="str">
        <x:v>La page ne documente pas à elle seule intégrations, sécurité, coût complet ou sortie ; ces contrôles exigent d'autres sources et des essais sur les cas, données et contraintes propres à l'entreprise.</x:v>
      </x:c>
      <x:c r="I9" s="20" t="str">
        <x:v>VERIFIE</x:v>
      </x:c>
    </x:row>
    <x:row r="10" ht="104" customHeight="1">
      <x:c r="B10" s="20" t="str">
        <x:v>GOVUK-OPEN-STANDARDS</x:v>
      </x:c>
      <x:c r="C10" s="20" t="str">
        <x:v>Government Digital Service</x:v>
      </x:c>
      <x:c r="D10" s="20" t="str">
        <x:v>Working with open standards</x:v>
      </x:c>
      <x:c r="E10" s="47" t="str">
        <x:v>https://www.gov.uk/service-manual/technology/working-with-open-standards</x:v>
      </x:c>
      <x:c r="F10" s="20" t="str">
        <x:v>2026-07-28</x:v>
      </x:c>
      <x:c r="G10" s="20" t="str">
        <x:v>Explique comment des standards ouverts peuvent faciliter l'échange de données, la réutilisation, le changement de fournisseur et la réduction de certaines dépendances.</x:v>
      </x:c>
      <x:c r="H10" s="20" t="str">
        <x:v>L'emploi d'un standard ouvert ne garantit ni l'interopérabilité réelle ni une migration sans coût ; les exports, identifiants, volumes et scénarios de reprise doivent être testés.</x:v>
      </x:c>
      <x:c r="I10" s="20" t="str">
        <x:v>VERIFIE</x:v>
      </x:c>
    </x:row>
    <x:row r="11" ht="104" customHeight="1">
      <x:c r="B11" s="20" t="str">
        <x:v>OECD-SME-DIGITAL</x:v>
      </x:c>
      <x:c r="C11" s="20" t="str">
        <x:v>Organisation for Economic Co-operation and Development</x:v>
      </x:c>
      <x:c r="D11" s="20" t="str">
        <x:v>The Digital Transformation of SMEs</x:v>
      </x:c>
      <x:c r="E11" s="47" t="str">
        <x:v>https://www.oecd.org/en/publications/the-digital-transformation-of-smes_bdb9256a-en.html</x:v>
      </x:c>
      <x:c r="F11" s="20" t="str">
        <x:v>2026-07-28</x:v>
      </x:c>
      <x:c r="G11" s="20" t="str">
        <x:v>Analyse internationale des écarts d'adoption numérique des PME, des obstacles de compétences et de financement, et de la diversité des trajectoires de transformation.</x:v>
      </x:c>
      <x:c r="H11" s="20" t="str">
        <x:v>Analyse agrégée qui ne fournit aucun seuil de temps perdu, aucun ROI individuel et aucune preuve qu'une PME donnée doit acheter ou développer un logiciel métier.</x:v>
      </x:c>
      <x:c r="I11" s="20" t="str">
        <x:v>VERIFIE</x:v>
      </x:c>
    </x:row>
    <x:row r="12" ht="104" customHeight="1">
      <x:c r="B12" s="20" t="str">
        <x:v>DTA-DIGITAL-STANDARD</x:v>
      </x:c>
      <x:c r="C12" s="20" t="str">
        <x:v>Australian Digital Transformation Agency</x:v>
      </x:c>
      <x:c r="D12" s="20" t="str">
        <x:v>Digital Service Standard</x:v>
      </x:c>
      <x:c r="E12" s="47" t="str">
        <x:v>https://www.digital.gov.au/policy/digital-experience/digital-service-standard</x:v>
      </x:c>
      <x:c r="F12" s="20" t="str">
        <x:v>2026-07-28</x:v>
      </x:c>
      <x:c r="G12" s="20" t="str">
        <x:v>Le standard australien actuel relie intention claire, connaissance des utilisateurs, inclusion, connexion des services, confiance, réutilisation, mesure et amélioration continue.</x:v>
      </x:c>
      <x:c r="H12" s="20" t="str">
        <x:v>Standard destiné aux services numériques du gouvernement australien ; il sert de contrepoint méthodologique international, sans créer d'obligation française ni décider entre achat et développement.</x:v>
      </x:c>
      <x:c r="I12" s="20" t="str">
        <x:v>VERIFIE</x:v>
      </x:c>
    </x:row>
    <x:row r="13" ht="104" customHeight="1">
      <x:c r="B13" s="20" t="str">
        <x:v>CANADA-DIGITAL-STANDARDS</x:v>
      </x:c>
      <x:c r="C13" s="20" t="str">
        <x:v>Government of Canada</x:v>
      </x:c>
      <x:c r="D13" s="20" t="str">
        <x:v>Digital Standards</x:v>
      </x:c>
      <x:c r="E13" s="47" t="str">
        <x:v>https://www.canada.ca/en/government/system/digital-government/government-canada-digital-standards.html</x:v>
      </x:c>
      <x:c r="F13" s="20" t="str">
        <x:v>2026-07-28</x:v>
      </x:c>
      <x:c r="G13" s="20" t="str">
        <x:v>Met l'accent sur la conception avec les utilisateurs, l'itération, la collecte unique et la réutilisation des données, l'ouverture et l'autonomisation des équipes.</x:v>
      </x:c>
      <x:c r="H13" s="20" t="str">
        <x:v>Normes du gouvernement canadien, non obligations françaises et non recette d'achat ; elles ne quantifient ni bénéfice financier, ni délai, ni budget de transformation.</x:v>
      </x:c>
      <x:c r="I13" s="20" t="str">
        <x:v>VERIFIE</x:v>
      </x:c>
    </x:row>
    <x:row r="14" ht="104" customHeight="1">
      <x:c r="B14" s="20" t="str">
        <x:v>CANADA-SERVICE-DIGITAL</x:v>
      </x:c>
      <x:c r="C14" s="20" t="str">
        <x:v>Government of Canada</x:v>
      </x:c>
      <x:c r="D14" s="20" t="str">
        <x:v>Guideline on Service and Digital</x:v>
      </x:c>
      <x:c r="E14" s="47" t="str">
        <x:v>https://www.canada.ca/en/government/system/digital-government/guideline-service-digital.html</x:v>
      </x:c>
      <x:c r="F14" s="20" t="str">
        <x:v>2026-07-28</x:v>
      </x:c>
      <x:c r="G14" s="20" t="str">
        <x:v>Demande d'impliquer les utilisateurs avant de choisir le système, de prévoir import, export et interopérabilité, puis de tester le service de bout en bout avec sécurité et vie privée.</x:v>
      </x:c>
      <x:c r="H14" s="20" t="str">
        <x:v>Directive administrative canadienne très large, actuellement en cours de révision : sa Note to Reader avertit que certaines références peuvent ne plus correspondre aux instruments, lois ou règlements les plus récents. Son usage reste pédagogique et ne vaut ni conformité française ni validation technique.</x:v>
      </x:c>
      <x:c r="I14" s="20" t="str">
        <x:v>VERIFIE</x:v>
      </x:c>
    </x:row>
    <x:row r="15" ht="104" customHeight="1">
      <x:c r="B15" s="20" t="str">
        <x:v>EC-SME-MATURITY</x:v>
      </x:c>
      <x:c r="C15" s="20" t="str">
        <x:v>European Commission</x:v>
      </x:c>
      <x:c r="D15" s="20" t="str">
        <x:v>Commission unveils new tool to help SMEs self-assess their digital maturity</x:v>
      </x:c>
      <x:c r="E15" s="47" t="str">
        <x:v>https://digital-strategy.ec.europa.eu/en/news/commission-unveils-new-tool-help-smes-self-assess-their-digital-maturity</x:v>
      </x:c>
      <x:c r="F15" s="20" t="str">
        <x:v>2026-07-28</x:v>
      </x:c>
      <x:c r="G15" s="20" t="str">
        <x:v>Structure l'auto-évaluation d'une PME autour de la stratégie, la préparation numérique, les compétences, les données, l'automatisation et la transformation durable.</x:v>
      </x:c>
      <x:c r="H15" s="20" t="str">
        <x:v>Outil de maturité général et non diagnostic d'un besoin logiciel précis ; un niveau faible ou élevé n'emporte aucune décision automatique de construire, acheter ou automatiser.</x:v>
      </x:c>
      <x:c r="I15" s="20" t="str">
        <x:v>VERIFIE</x:v>
      </x:c>
    </x:row>
    <x:row r="16" ht="104" customHeight="1">
      <x:c r="B16" s="20" t="str">
        <x:v>CNIL-HABILITATIONS</x:v>
      </x:c>
      <x:c r="C16" s="20" t="str">
        <x:v>Commission nationale de l'informatique et des libertés</x:v>
      </x:c>
      <x:c r="D16" s="20" t="str">
        <x:v>Sécurité : gérer les habilitations</x:v>
      </x:c>
      <x:c r="E16" s="47" t="str">
        <x:v>https://www.cnil.fr/fr/securite-gerer-les-habilitations</x:v>
      </x:c>
      <x:c r="F16" s="20" t="str">
        <x:v>2026-07-28</x:v>
      </x:c>
      <x:c r="G16" s="20" t="str">
        <x:v>Recommande des habilitations justifiées par les missions, leur revue, leur retrait et une gestion adaptée des comptes à privilèges pour les données personnelles.</x:v>
      </x:c>
      <x:c r="H16" s="20" t="str">
        <x:v>Fiche de sécurité relative aux données personnelles, non audit exhaustif et non preuve qu'un logiciel neuf est requis ; la correction des droits peut être la première réponse suffisante.</x:v>
      </x:c>
      <x:c r="I16" s="20" t="str">
        <x:v>VERIFIE</x:v>
      </x:c>
    </x:row>
    <x:row r="17" ht="104" customHeight="1">
      <x:c r="B17" s="20" t="str">
        <x:v>CNIL-SAUVEGARDES</x:v>
      </x:c>
      <x:c r="C17" s="20" t="str">
        <x:v>Commission nationale de l'informatique et des libertés</x:v>
      </x:c>
      <x:c r="D17" s="20" t="str">
        <x:v>Sécurité : sauvegarder</x:v>
      </x:c>
      <x:c r="E17" s="47" t="str">
        <x:v>https://www.cnil.fr/fr/securite-sauvegarder</x:v>
      </x:c>
      <x:c r="F17" s="20" t="str">
        <x:v>2026-07-28</x:v>
      </x:c>
      <x:c r="G17" s="20" t="str">
        <x:v>Recommande des sauvegardes régulières, protégées, au moins une copie hors ligne et géographiquement distincte, ainsi que des tests de restauration.</x:v>
      </x:c>
      <x:c r="H17" s="20" t="str">
        <x:v>Recommandations de sécurité, pas garantie de continuité ni définition universelle d'un RPO ; la restauration utile doit être exercée avec les données, configurations et responsables réels.</x:v>
      </x:c>
      <x:c r="I17" s="20" t="str">
        <x:v>VERIFIE</x:v>
      </x:c>
    </x:row>
    <x:row r="18" ht="104" customHeight="1">
      <x:c r="B18" s="20" t="str">
        <x:v>CNIL-CONTINUITE</x:v>
      </x:c>
      <x:c r="C18" s="20" t="str">
        <x:v>Commission nationale de l'informatique et des libertés</x:v>
      </x:c>
      <x:c r="D18" s="20" t="str">
        <x:v>Sécurité : prévoir la continuité et la reprise d'activité</x:v>
      </x:c>
      <x:c r="E18" s="47" t="str">
        <x:v>https://www.cnil.fr/fr/securite-prevoir-la-continuite-et-la-reprise-dactivite</x:v>
      </x:c>
      <x:c r="F18" s="20" t="str">
        <x:v>2026-07-28</x:v>
      </x:c>
      <x:c r="G18" s="20" t="str">
        <x:v>Demande d'identifier les activités essentielles, les dépendances, les responsabilités, les moyens de continuité et la vérification régulière des dispositifs de reprise.</x:v>
      </x:c>
      <x:c r="H18" s="20" t="str">
        <x:v>Ne remplace pas un plan de continuité complet, un exercice ni un accompagnement cyber ; une suspicion d'intrusion ou de fuite active relève d'une réponse spécialisée immédiate.</x:v>
      </x:c>
      <x:c r="I18" s="20" t="str">
        <x:v>VERIFIE</x:v>
      </x:c>
    </x:row>
    <x:row r="19" ht="104" customHeight="1">
      <x:c r="B19" s="20" t="str">
        <x:v>FRANCENUM-AUTOMATISATION</x:v>
      </x:c>
      <x:c r="C19" s="20" t="str">
        <x:v>France Num</x:v>
      </x:c>
      <x:c r="D19" s="20" t="str">
        <x:v>L'automatisation : une solution indispensable pour gagner du temps et mieux gérer sa TPE PME</x:v>
      </x:c>
      <x:c r="E19" s="47" t="str">
        <x:v>https://www.francenum.gouv.fr/guides-et-conseils/pilotage-de-lentreprise/numerisation-des-processus/lautomatisation-une-solution</x:v>
      </x:c>
      <x:c r="F19" s="20" t="str">
        <x:v>2026-07-28</x:v>
      </x:c>
      <x:c r="G19" s="20" t="str">
        <x:v>Propose d'observer fréquence, durée, personnes, erreurs, étapes, données et exceptions avant de choisir un processus et une solution d'automatisation.</x:v>
      </x:c>
      <x:c r="H19" s="20" t="str">
        <x:v>Guide de sensibilisation pour TPE-PME : les exemples et gains éventuels ne sont pas des promesses et le temps observé ne devient pas automatiquement une économie de trésorerie.</x:v>
      </x:c>
      <x:c r="I19" s="20" t="str">
        <x:v>VERIFIE</x:v>
      </x:c>
    </x:row>
    <x:row r="20" ht="104" customHeight="1">
      <x:c r="B20" s="20" t="str">
        <x:v>RGESN-2024</x:v>
      </x:c>
      <x:c r="C20" s="20" t="str">
        <x:v>Mission interministérielle Numérique écoresponsable</x:v>
      </x:c>
      <x:c r="D20" s="20" t="str">
        <x:v>Référentiel général d'écoconception de services numériques (RGESN) - 2024</x:v>
      </x:c>
      <x:c r="E20" s="47" t="str">
        <x:v>https://ecoresponsable.numerique.gouv.fr/publications/referentiel-general-ecoconception/</x:v>
      </x:c>
      <x:c r="F20" s="20" t="str">
        <x:v>2026-07-28</x:v>
      </x:c>
      <x:c r="G20" s="20" t="str">
        <x:v>Invite à questionner le besoin, les solutions non numériques ou existantes, la durée de vie, les ressources, l'hébergement et l'entretien d'un nouveau service.</x:v>
      </x:c>
      <x:c r="H20" s="20" t="str">
        <x:v>Référentiel d'écoconception et non modèle de rentabilité ; il n'interdit pas un logiciel neuf et ne prouve ni la couverture fonctionnelle ni le coût d'une alternative existante.</x:v>
      </x:c>
      <x:c r="I20" s="20" t="str">
        <x:v>VERIFIE</x:v>
      </x:c>
    </x:row>
    <x:row r="21" ht="104" customHeight="1">
      <x:c r="B21" s="20" t="str">
        <x:v>DESIGNGOUV-BESOINS</x:v>
      </x:c>
      <x:c r="C21" s="20" t="str">
        <x:v>Direction interministérielle du numérique</x:v>
      </x:c>
      <x:c r="D21" s="20" t="str">
        <x:v>Concevoir un service public numérique de qualité</x:v>
      </x:c>
      <x:c r="E21" s="47" t="str">
        <x:v>https://design.numerique.gouv.fr/bien-concevoir/</x:v>
      </x:c>
      <x:c r="F21" s="20" t="str">
        <x:v>2026-07-28</x:v>
      </x:c>
      <x:c r="G21" s="20" t="str">
        <x:v>Présente une démarche partant des besoins, de l'observation des usages, de prototypes et de tests réguliers avec les personnes concernées.</x:v>
      </x:c>
      <x:c r="H21" s="20" t="str">
        <x:v>Ressource destinée aux services publics numériques ; elle inspire la pédagogie et les tests utilisateur sans devenir une obligation privée ni un certificat de qualité.</x:v>
      </x:c>
      <x:c r="I21" s="20" t="str">
        <x:v>VERIFIE</x:v>
      </x:c>
    </x:row>
    <x:row r="22" ht="104" customHeight="1">
      <x:c r="B22" s="20" t="str">
        <x:v>NIST-CSF-2</x:v>
      </x:c>
      <x:c r="C22" s="20" t="str">
        <x:v>National Institute of Standards and Technology</x:v>
      </x:c>
      <x:c r="D22" s="20" t="str">
        <x:v>Cybersecurity Framework 2.0</x:v>
      </x:c>
      <x:c r="E22" s="47" t="str">
        <x:v>https://www.nist.gov/cyberframework</x:v>
      </x:c>
      <x:c r="F22" s="20" t="str">
        <x:v>2026-07-28</x:v>
      </x:c>
      <x:c r="G22" s="20" t="str">
        <x:v>Cadre volontaire fondé sur gouverner, identifier, protéger, détecter, répondre et rétablir, utile pour séparer un risque cyber actif d'un projet d'amélioration fonctionnelle.</x:v>
      </x:c>
      <x:c r="H22" s="20" t="str">
        <x:v>Cadre volontaire américain centré sur le risque cyber ; il n'est ni une obligation française, ni un audit, ni une justification automatique d'achat ou de développement logiciel.</x:v>
      </x:c>
      <x:c r="I22" s="20" t="str">
        <x:v>VERIFIE</x:v>
      </x:c>
    </x:row>
    <x:row r="23" ht="104" customHeight="1">
      <x:c r="B23" s="20" t="str">
        <x:v>NIST-SP800-34</x:v>
      </x:c>
      <x:c r="C23" s="20" t="str">
        <x:v>National Institute of Standards and Technology</x:v>
      </x:c>
      <x:c r="D23" s="20" t="str">
        <x:v>SP 800-34 Rev. 1 — Contingency Planning Guide for Federal Information Systems</x:v>
      </x:c>
      <x:c r="E23" s="47" t="str">
        <x:v>https://csrc.nist.gov/pubs/sp/800/34/r1/upd1/final</x:v>
      </x:c>
      <x:c r="F23" s="20" t="str">
        <x:v>2026-07-28</x:v>
      </x:c>
      <x:c r="G23" s="20" t="str">
        <x:v>Relie analyse d'impact, priorités de reprise, stratégies de continuité et exigences de récupération ; il fournit un appui public pour définir RTO et RPO à partir des activités et systèmes réels.</x:v>
      </x:c>
      <x:c r="H23" s="20" t="str">
        <x:v>Publication fédérale américaine de 2010, non obligation française ni valeur contractuelle ; ses objectifs de reprise doivent être adaptés, testés et tenus à jour dans le contexte de l'entreprise.</x:v>
      </x:c>
      <x:c r="I23" s="20" t="str">
        <x:v>VERIFIE</x:v>
      </x:c>
    </x:row>
    <x:row r="24" ht="104" customHeight="1">
      <x:c r="B24" s="20" t="str">
        <x:v>CNIL-SOUS-TRAITANCE</x:v>
      </x:c>
      <x:c r="C24" s="20" t="str">
        <x:v>Commission nationale de l'informatique et des libertés</x:v>
      </x:c>
      <x:c r="D24" s="20" t="str">
        <x:v>Sécurité : gérer la sous-traitance</x:v>
      </x:c>
      <x:c r="E24" s="47" t="str">
        <x:v>https://www.cnil.fr/fr/securite-gerer-la-sous-traitance</x:v>
      </x:c>
      <x:c r="F24" s="20" t="str">
        <x:v>2026-07-28</x:v>
      </x:c>
      <x:c r="G24" s="20" t="str">
        <x:v>Rappelle la définition des responsabilités, garanties, mesures de sécurité, chaîne de sous-traitance, localisation et contrôles lorsqu'un prestataire traite des données personnelles.</x:v>
      </x:c>
      <x:c r="H24" s="20" t="str">
        <x:v>Fiche de sécurité et de conformité relative aux données personnelles ; elle ne remplace ni l'analyse contractuelle complète ni la vérification technique et juridique du prestataire retenu.</x:v>
      </x:c>
      <x:c r="I24" s="20" t="str">
        <x:v>VERIFIE</x:v>
      </x:c>
    </x:row>
    <x:row r="25" ht="104" customHeight="1">
      <x:c r="B25" s="20" t="str">
        <x:v>FRANCENUM-NOCODE</x:v>
      </x:c>
      <x:c r="C25" s="20" t="str">
        <x:v>France Num</x:v>
      </x:c>
      <x:c r="D25" s="20" t="str">
        <x:v>Pourquoi utiliser des outils no-code pour gérer sa TPE PME, et lesquels ?</x:v>
      </x:c>
      <x:c r="E25" s="47" t="str">
        <x:v>https://www.francenum.gouv.fr/guides-et-conseils/pilotage-de-lentreprise/numerisation-des-processus/pourquoi-utiliser-des-outils</x:v>
      </x:c>
      <x:c r="F25" s="20" t="str">
        <x:v>2026-07-28</x:v>
      </x:c>
      <x:c r="G25" s="20" t="str">
        <x:v>Présente les usages possibles du no-code, ses principes de construction visuelle et des exemples de processus ou d'applications internes accessibles aux petites entreprises.</x:v>
      </x:c>
      <x:c r="H25" s="20" t="str">
        <x:v>Contenu de sensibilisation qui ne prouve ni un coût inférieur, ni une sécurité suffisante, ni une maintenance automatique ; plateformes, licences et gouvernance doivent être vérifiées séparément.</x:v>
      </x:c>
      <x:c r="I25" s="20" t="str">
        <x:v>VERIFIE</x:v>
      </x:c>
    </x:row>
    <x:row r="26" ht="104" customHeight="1">
      <x:c r="B26" s="20" t="str">
        <x:v>FRANCENUM-ERP</x:v>
      </x:c>
      <x:c r="C26" s="20" t="str">
        <x:v>France Num</x:v>
      </x:c>
      <x:c r="D26" s="20" t="str">
        <x:v>Pourquoi et comment mettre en place un ERP pour les TPE</x:v>
      </x:c>
      <x:c r="E26" s="47" t="str">
        <x:v>https://www.francenum.gouv.fr/guides-et-conseils/pilotage-de-lentreprise/logiciels-de-gestion-de-lentreprise/pourquoi-et-comment</x:v>
      </x:c>
      <x:c r="F26" s="20" t="str">
        <x:v>2026-07-28</x:v>
      </x:c>
      <x:c r="G26" s="20" t="str">
        <x:v>Décrit la préparation d'un projet ERP autour des objectifs, processus, données, équipes, couverture, interfaces, ergonomie, accompagnement et dépendance à l'éditeur.</x:v>
      </x:c>
      <x:c r="H26" s="20" t="str">
        <x:v>Guide de sensibilisation et non étude de marché exhaustive ; les chiffres généraux, produits et modèles de déploiement ne doivent pas être transposés sans vérification locale.</x:v>
      </x:c>
      <x:c r="I26" s="20" t="str">
        <x:v>VERIFIE</x:v>
      </x:c>
    </x:row>
    <x:row r="27" ht="104" customHeight="1">
      <x:c r="B27" s="20" t="str">
        <x:v>DIGITALGOV-ACQUISITIONS</x:v>
      </x:c>
      <x:c r="C27" s="20" t="str">
        <x:v>United States General Services Administration</x:v>
      </x:c>
      <x:c r="D27" s="20" t="str">
        <x:v>Navigating digital acquisitions</x:v>
      </x:c>
      <x:c r="E27" s="47" t="str">
        <x:v>https://digital.gov/2024/11/26/navigating-digital-acquisitions/</x:v>
      </x:c>
      <x:c r="F27" s="20" t="str">
        <x:v>2026-07-28</x:v>
      </x:c>
      <x:c r="G27" s="20" t="str">
        <x:v>Relie recherche utilisateur, décision construire ou acheter, distinction entre configuration et modification, essais en environnement contrôlé et implication de vrais utilisateurs.</x:v>
      </x:c>
      <x:c r="H27" s="20" t="str">
        <x:v>Ressource de l'administration fédérale américaine ; les principes de preuve sont utiles, mais ses processus d'achat et règles contractuelles ne sont pas transposables tels quels en France.</x:v>
      </x:c>
      <x:c r="I27" s="20" t="str">
        <x:v>VERIFIE</x:v>
      </x:c>
    </x:row>
    <x:row r="28" ht="104" customHeight="1">
      <x:c r="B28" s="20" t="str">
        <x:v>GOVUK-BENEFITS</x:v>
      </x:c>
      <x:c r="C28" s="20" t="str">
        <x:v>Government Digital Service</x:v>
      </x:c>
      <x:c r="D28" s="20" t="str">
        <x:v>Measuring the benefits of your service</x:v>
      </x:c>
      <x:c r="E28" s="47" t="str">
        <x:v>https://www.gov.uk/service-manual/measuring-success/measuring-service-benefits</x:v>
      </x:c>
      <x:c r="F28" s="20" t="str">
        <x:v>2026-07-28</x:v>
      </x:c>
      <x:c r="G28" s="20" t="str">
        <x:v>Propose une baseline, des coûts et bénéfices observables, une analyse de sensibilité et des décisions explicites de poursuivre, modifier ou arrêter un service.</x:v>
      </x:c>
      <x:c r="H28" s="20" t="str">
        <x:v>Méthode publique britannique ancienne qui ne fournit aucun seuil PME, aucun taux de conversion financière du temps et aucune promesse de retour sur investissement.</x:v>
      </x:c>
      <x:c r="I28" s="20" t="str">
        <x:v>VERIFIE</x:v>
      </x:c>
    </x:row>
    <x:row r="29" ht="104" customHeight="1">
      <x:c r="B29" s="20" t="str">
        <x:v>GOVUK-DDAT-PLAYBOOK</x:v>
      </x:c>
      <x:c r="C29" s="20" t="str">
        <x:v>UK Cabinet Office</x:v>
      </x:c>
      <x:c r="D29" s="20" t="str">
        <x:v>The Digital, Data and Technology Playbook</x:v>
      </x:c>
      <x:c r="E29" s="47" t="str">
        <x:v>https://www.gov.uk/government/publications/the-digital-data-and-technology-playbook/the-digital-data-and-technology-playbook</x:v>
      </x:c>
      <x:c r="F29" s="20" t="str">
        <x:v>2026-07-28</x:v>
      </x:c>
      <x:c r="G29" s="20" t="str">
        <x:v>Cadre d'achat qui couvre résultats, coûts de cycle de vie, interopérabilité, dépendance fournisseur, exploitation, maintenance et planification de sortie des services numériques.</x:v>
      </x:c>
      <x:c r="H29" s="20" t="str">
        <x:v>Playbook de commande publique britannique et non barème pour entreprise privée ; sa structure TCO et sortie doit être adaptée au périmètre, au contrat et aux risques locaux.</x:v>
      </x:c>
      <x:c r="I29" s="20" t="str">
        <x:v>VERIFIE</x:v>
      </x:c>
    </x:row>
    <x:row r="30" ht="104" customHeight="1">
      <x:c r="B30" s="20" t="str">
        <x:v>EU-REUSE-BUY-BUILD</x:v>
      </x:c>
      <x:c r="C30" s="20" t="str">
        <x:v>European Commission — Interoperable Europe</x:v>
      </x:c>
      <x:c r="D30" s="20" t="str">
        <x:v>Reuse, before buy, before build</x:v>
      </x:c>
      <x:c r="E30" s="47" t="str">
        <x:v>https://interoperable-europe.ec.europa.eu/collection/common-assessment-method-standards-and-specifications-camss/solution/elap/reuse-buy-build</x:v>
      </x:c>
      <x:c r="F30" s="20" t="str">
        <x:v>2026-07-28</x:v>
      </x:c>
      <x:c r="G30" s="20" t="str">
        <x:v>Présente le principe de réutiliser avant d'acheter puis d'acheter avant de construire, et de questionner les exigences qui ne sont pas couvertes par des solutions existantes.</x:v>
      </x:c>
      <x:c r="H30" s="20" t="str">
        <x:v>Principe destiné à l'interopérabilité des administrations publiques ; il ne constitue pas un ordre obligatoire pour une PME et ne remplace pas une analyse des écarts et du coût complet.</x:v>
      </x:c>
      <x:c r="I30" s="20" t="str">
        <x:v>VERIFIE</x:v>
      </x:c>
    </x:row>
    <x:row r="31" ht="104" customHeight="1">
      <x:c r="B31" s="21" t="str">
        <x:v>MICROSOFT-POWER-COE</x:v>
      </x:c>
      <x:c r="C31" s="21" t="str">
        <x:v>Microsoft Learn</x:v>
      </x:c>
      <x:c r="D31" s="21" t="str">
        <x:v>Establish a Microsoft Power Platform Center of Excellence</x:v>
      </x:c>
      <x:c r="E31" s="48" t="str">
        <x:v>https://learn.microsoft.com/en-us/power-platform/guidance/adoption/coe</x:v>
      </x:c>
      <x:c r="F31" s="21" t="str">
        <x:v>2026-07-28</x:v>
      </x:c>
      <x:c r="G31" s="21" t="str">
        <x:v>Décrit pour Power Platform les rôles, la gouvernance, les standards, la sécurité des données, les accès, environnements, tests, supervision, formation, support et mesure nécessaires à une adoption durable.</x:v>
      </x:c>
      <x:c r="H31" s="21" t="str">
        <x:v>Documentation d'un éditeur pour son propre écosystème ; elle n'est pas la page du Starter Kit, ne garantit aucun inventaire automatique et ne prouve ni l'adéquation de Power Platform ni une règle universelle.</x:v>
      </x:c>
      <x:c r="I31" s="21" t="str">
        <x:v>VERIFIE</x:v>
      </x:c>
    </x:row>
  </x:sheetData>
  <x:mergeCells>
    <x:mergeCell ref="A1:I2"/>
    <x:mergeCell ref="A3:I3"/>
  </x:mergeCells>
  <x:conditionalFormatting sqref="I6:I31">
    <x:cfRule type="containsText" dxfId="48" priority="1" operator="containsText" text="STOP"/>
    <x:cfRule type="containsText" dxfId="49" priority="2" operator="containsText" text="BLOQUE"/>
    <x:cfRule type="containsText" dxfId="50" priority="3" operator="containsText" text="INCOMPLET"/>
    <x:cfRule type="containsText" dxfId="51" priority="4" operator="containsText" text="PASS"/>
  </x:conditionalFormatting>
  <x:pageMargins left="0.7" right="0.7" top="0.75" bottom="0.75" header="0.3" footer="0.3"/>
  <x:tableParts count="1">
    <x:tablePart xmlns:r="http://schemas.openxmlformats.org/officeDocument/2006/relationships" r:id="R77d308780f344e9f"/>
  </x:tableParts>
</x:worksheet>
</file>