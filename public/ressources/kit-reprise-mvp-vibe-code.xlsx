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cdfb58671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D_ABORD" sheetId="1" r:id="Rf5f0837970d94164"/>
    <x:sheet xmlns:r="http://schemas.openxmlformats.org/officeDocument/2006/relationships" name="INVENTAIRE" sheetId="2" r:id="Re773dcd7032641dc"/>
    <x:sheet xmlns:r="http://schemas.openxmlformats.org/officeDocument/2006/relationships" name="SOURCE_BUILD" sheetId="3" r:id="R8f9ea8e5e4124227"/>
    <x:sheet xmlns:r="http://schemas.openxmlformats.org/officeDocument/2006/relationships" name="SBOM_LICENCES" sheetId="4" r:id="Rb350579511304728"/>
    <x:sheet xmlns:r="http://schemas.openxmlformats.org/officeDocument/2006/relationships" name="DONNEES_RESTORE" sheetId="5" r:id="R86eda03c78a84a58"/>
    <x:sheet xmlns:r="http://schemas.openxmlformats.org/officeDocument/2006/relationships" name="RTO_RPO" sheetId="6" r:id="Rf0b1ea77fad44502"/>
    <x:sheet xmlns:r="http://schemas.openxmlformats.org/officeDocument/2006/relationships" name="ACCES" sheetId="7" r:id="R8d601df3059148ed"/>
    <x:sheet xmlns:r="http://schemas.openxmlformats.org/officeDocument/2006/relationships" name="PARCOURS_METIER" sheetId="8" r:id="R59912d7840584b1b"/>
    <x:sheet xmlns:r="http://schemas.openxmlformats.org/officeDocument/2006/relationships" name="PRODUCTION" sheetId="9" r:id="R86261174904c4af1"/>
    <x:sheet xmlns:r="http://schemas.openxmlformats.org/officeDocument/2006/relationships" name="MIGRATION" sheetId="10" r:id="R423d09f78a934d7a"/>
    <x:sheet xmlns:r="http://schemas.openxmlformats.org/officeDocument/2006/relationships" name="HYPOTHESES_TCO" sheetId="11" r:id="R4ee8cfd7814c436e"/>
    <x:sheet xmlns:r="http://schemas.openxmlformats.org/officeDocument/2006/relationships" name="TCO_12_36_60" sheetId="12" r:id="Rbd91af073c7c4dc0"/>
    <x:sheet xmlns:r="http://schemas.openxmlformats.org/officeDocument/2006/relationships" name="RISQUE_PANNE" sheetId="13" r:id="R3d2d931d19174114"/>
    <x:sheet xmlns:r="http://schemas.openxmlformats.org/officeDocument/2006/relationships" name="DECISION" sheetId="14" r:id="R251cceea29e74cfc"/>
    <x:sheet xmlns:r="http://schemas.openxmlformats.org/officeDocument/2006/relationships" name="TESTS" sheetId="15" r:id="R39d4ef66002b4a0b"/>
    <x:sheet xmlns:r="http://schemas.openxmlformats.org/officeDocument/2006/relationships" name="CONTROLES" sheetId="16" r:id="Rdb7e573af83c456d"/>
    <x:sheet xmlns:r="http://schemas.openxmlformats.org/officeDocument/2006/relationships" name="SOURCES" sheetId="17" r:id="R2f7019a6ae584e38"/>
  </x:sheets>
</x:workbook>
</file>

<file path=xl/comments1.xml><?xml version="1.0" encoding="utf-8"?>
<x:comments xmlns:x="http://schemas.openxmlformats.org/spreadsheetml/2006/main">
  <x:authors>
    <x:author>tc={13A25FF7-1FB7-6817-956C-FA4D9EC2E0F4}</x:author>
  </x:authors>
  <x:commentList>
    <x:comment ref="C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Passer à OUI uniquement après remplacement et sourçage de toutes les valeurs fictives héritées.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tc={E98B1267-0255-5910-BC60-2505EDF0EFF3}</x:author>
  </x:authors>
  <x:commentList>
    <x:comment ref="C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Hypothèse fictive. À remplacer par une estimation sourcée, datée et approuvée.</x:t>
        </x:r>
      </x:text>
    </x:comment>
  </x:commentList>
</x:comments>
</file>

<file path=xl/comments3.xml><?xml version="1.0" encoding="utf-8"?>
<x:comments xmlns:x="http://schemas.openxmlformats.org/spreadsheetml/2006/main">
  <x:authors>
    <x:author>tc={F6C512AA-1CF1-4692-B4DF-F194F5A30442}</x:author>
  </x:authors>
  <x:commentList>
    <x:comment ref="C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Probabilité nullable. Si elle est renseignée, la source et la date deviennent obligatoires.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@"/>
    <x:numFmt numFmtId="202" formatCode="0"/>
    <x:numFmt numFmtId="203" formatCode="#,##0.00&quot; €&quot;;[Red](#,##0.00&quot; €&quot;);-"/>
    <x:numFmt numFmtId="204" formatCode="#,##0.00"/>
    <x:numFmt numFmtId="205" formatCode="0.00&quot;%&quot;"/>
  </x:numFmts>
  <x:fonts count="13">
    <x:font>
      <x:sz val="11"/>
      <x:name val="Carlito"/>
    </x:font>
    <x:font>
      <x:b/>
      <x:sz val="19"/>
      <x:color rgb="FFFFFFFF"/>
      <x:name val="Aptos Display"/>
    </x:font>
    <x:font>
      <x:b/>
      <x:i/>
      <x:sz val="10"/>
      <x:color rgb="FFB45309"/>
      <x:name val="Carlito"/>
    </x:font>
    <x:font>
      <x:b/>
      <x:sz val="9"/>
      <x:color rgb="FFFFFFFF"/>
      <x:name val="Carlito"/>
    </x:font>
    <x:font>
      <x:sz val="9"/>
      <x:color rgb="FF172033"/>
      <x:name val="Carlito"/>
    </x:font>
    <x:font>
      <x:sz val="9"/>
      <x:color rgb="FF1D4ED8"/>
      <x:name val="Carlito"/>
    </x:font>
    <x:font>
      <x:b/>
      <x:sz val="9"/>
      <x:color rgb="FF047857"/>
      <x:name val="Carlito"/>
    </x:font>
    <x:font>
      <x:b/>
      <x:sz val="9"/>
      <x:color rgb="FFB45309"/>
      <x:name val="Carlito"/>
    </x:font>
    <x:font>
      <x:b/>
      <x:sz val="9"/>
      <x:color rgb="FFB91C1C"/>
      <x:name val="Carlito"/>
    </x:font>
    <x:font>
      <x:b/>
      <x:sz val="10"/>
      <x:color rgb="FF172033"/>
      <x:name val="Carlito"/>
    </x:font>
    <x:font>
      <x:b/>
      <x:sz val="11"/>
      <x:color rgb="FFB45309"/>
      <x:name val="Carlito"/>
    </x:font>
    <x:font>
      <x:b/>
      <x:sz val="14"/>
      <x:color rgb="FF047857"/>
      <x:name val="Carlito"/>
    </x:font>
    <x:font>
      <x:sz val="11"/>
      <x:color rgb="FF1D4ED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E2E8F0"/>
      </x:patternFill>
    </x:fill>
  </x:fills>
  <x:borders count="5">
    <x:border/>
    <x:border>
      <x:bottom style="medium">
        <x:color rgb="FF172033"/>
      </x:bottom>
    </x:border>
    <x:border>
      <x:bottom style="thin">
        <x:color rgb="FFCBD5E1"/>
      </x:bottom>
    </x:border>
    <x:border>
      <x:bottom style="thin">
        <x:color rgb="FF93C5FD"/>
      </x:bottom>
    </x:border>
    <x:border>
      <x:bottom style="thin">
        <x:color rgb="FF6EE7B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7" fillId="3" borderId="3" xfId="0" applyNumberFormat="1" applyFont="1" applyFill="1" applyBorder="1" applyAlignment="1">
      <x:alignment vertical="top" wrapText="1"/>
    </x:xf>
    <x:xf numFmtId="203" fontId="5" fillId="4" borderId="0" xfId="0" applyNumberFormat="1" applyFont="1" applyFill="1" applyBorder="1" applyAlignment="1">
      <x:alignment vertical="top" wrapText="1"/>
    </x:xf>
    <x:xf numFmtId="203" fontId="5" fillId="4" borderId="3" xfId="0" applyNumberFormat="1" applyFont="1" applyFill="1" applyBorder="1" applyAlignment="1">
      <x:alignment vertical="top" wrapText="1"/>
    </x:xf>
    <x:xf numFmtId="204" fontId="5" fillId="4" borderId="0" xfId="0" applyNumberFormat="1" applyFont="1" applyFill="1" applyBorder="1" applyAlignment="1">
      <x:alignment vertical="top" wrapText="1"/>
    </x:xf>
    <x:xf numFmtId="204" fontId="5" fillId="4" borderId="3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vertical="top" wrapText="1"/>
    </x:xf>
    <x:xf numFmtId="202" fontId="5" fillId="4" borderId="3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203" fontId="6" fillId="5" borderId="0" xfId="0" applyNumberFormat="1" applyFont="1" applyFill="1" applyBorder="1" applyAlignment="1">
      <x:alignment vertical="top" wrapText="1"/>
    </x:xf>
    <x:xf numFmtId="203" fontId="6" fillId="5" borderId="4" xfId="0" applyNumberFormat="1" applyFont="1" applyFill="1" applyBorder="1" applyAlignment="1">
      <x:alignment vertical="top" wrapText="1"/>
    </x:xf>
    <x:xf numFmtId="205" fontId="5" fillId="4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8" fillId="6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</x:cellXfs>
  <x:cellStyles count="1">
    <x:cellStyle name="Normal" xfId="0"/>
  </x:cellStyles>
  <x:dxfs count="96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f4ae5a0384116" /><Relationship Type="http://schemas.openxmlformats.org/officeDocument/2006/relationships/theme" Target="/xl/theme/theme1.xml" Id="Rc1a7faef92ce46be" /><Relationship Type="http://schemas.openxmlformats.org/officeDocument/2006/relationships/sharedStrings" Target="/xl/sharedStrings.xml" Id="Rcf2d1723587c43dd" /><Relationship Type="http://schemas.openxmlformats.org/officeDocument/2006/relationships/worksheet" Target="/xl/worksheets/sheet1.xml" Id="Rf5f0837970d94164" /><Relationship Type="http://schemas.openxmlformats.org/officeDocument/2006/relationships/worksheet" Target="/xl/worksheets/sheet2.xml" Id="Re773dcd7032641dc" /><Relationship Type="http://schemas.openxmlformats.org/officeDocument/2006/relationships/worksheet" Target="/xl/worksheets/sheet3.xml" Id="R8f9ea8e5e4124227" /><Relationship Type="http://schemas.openxmlformats.org/officeDocument/2006/relationships/worksheet" Target="/xl/worksheets/sheet4.xml" Id="Rb350579511304728" /><Relationship Type="http://schemas.openxmlformats.org/officeDocument/2006/relationships/worksheet" Target="/xl/worksheets/sheet5.xml" Id="R86eda03c78a84a58" /><Relationship Type="http://schemas.openxmlformats.org/officeDocument/2006/relationships/worksheet" Target="/xl/worksheets/sheet6.xml" Id="Rf0b1ea77fad44502" /><Relationship Type="http://schemas.openxmlformats.org/officeDocument/2006/relationships/worksheet" Target="/xl/worksheets/sheet7.xml" Id="R8d601df3059148ed" /><Relationship Type="http://schemas.openxmlformats.org/officeDocument/2006/relationships/worksheet" Target="/xl/worksheets/sheet8.xml" Id="R59912d7840584b1b" /><Relationship Type="http://schemas.openxmlformats.org/officeDocument/2006/relationships/worksheet" Target="/xl/worksheets/sheet9.xml" Id="R86261174904c4af1" /><Relationship Type="http://schemas.openxmlformats.org/officeDocument/2006/relationships/worksheet" Target="/xl/worksheets/sheet10.xml" Id="R423d09f78a934d7a" /><Relationship Type="http://schemas.openxmlformats.org/officeDocument/2006/relationships/worksheet" Target="/xl/worksheets/sheet11.xml" Id="R4ee8cfd7814c436e" /><Relationship Type="http://schemas.openxmlformats.org/officeDocument/2006/relationships/worksheet" Target="/xl/worksheets/sheet12.xml" Id="Rbd91af073c7c4dc0" /><Relationship Type="http://schemas.openxmlformats.org/officeDocument/2006/relationships/worksheet" Target="/xl/worksheets/sheet13.xml" Id="R3d2d931d19174114" /><Relationship Type="http://schemas.openxmlformats.org/officeDocument/2006/relationships/worksheet" Target="/xl/worksheets/sheet14.xml" Id="R251cceea29e74cfc" /><Relationship Type="http://schemas.openxmlformats.org/officeDocument/2006/relationships/worksheet" Target="/xl/worksheets/sheet15.xml" Id="R39d4ef66002b4a0b" /><Relationship Type="http://schemas.openxmlformats.org/officeDocument/2006/relationships/worksheet" Target="/xl/worksheets/sheet16.xml" Id="Rdb7e573af83c456d" /><Relationship Type="http://schemas.openxmlformats.org/officeDocument/2006/relationships/worksheet" Target="/xl/worksheets/sheet17.xml" Id="R2f7019a6ae584e38" /><Relationship Type="http://schemas.microsoft.com/office/2017/10/relationships/person" Target="/xl/persons/person.xml" Id="R027bd76ba6cf445f" /></Relationships>
</file>

<file path=xl/persons/person.xml><?xml version="1.0" encoding="utf-8"?>
<xltc:personList xmlns:xltc="http://schemas.microsoft.com/office/spreadsheetml/2018/threadedcomments">
  <xltc:person displayName="Quentin Hagnéré" id="{DD67BD42-00AC-4AE9-9AA2-67755E8DF7A2}"/>
</xltc:personList>
</file>

<file path=xl/tables/table1.xml><?xml version="1.0" encoding="utf-8"?>
<x:table xmlns:x="http://schemas.openxmlformats.org/spreadsheetml/2006/main" id="1" name="T_Lire_Regles" displayName="T_Lire_Regles" ref="B5:G11" headerRowCount="1" totalsRowCount="0" totalsRowShown="0">
  <x:autoFilter ref="B5:G11"/>
  <x:tableColumns count="6">
    <x:tableColumn id="1" name="Règle"/>
    <x:tableColumn id="2" name="Application"/>
    <x:tableColumn id="3" name="Couleur"/>
    <x:tableColumn id="4" name="Sens"/>
    <x:tableColumn id="5" name="Statut"/>
    <x:tableColumn id="6" name="Lim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Inventaire" displayName="T_Inventaire" ref="B5:Q14" headerRowCount="1" totalsRowCount="0" totalsRowShown="0">
  <x:autoFilter ref="B5:Q14"/>
  <x:tableColumns count="16">
    <x:tableColumn id="1" name="ID"/>
    <x:tableColumn id="2" name="Domaine"/>
    <x:tableColumn id="3" name="Sévérité"/>
    <x:tableColumn id="4" name="N/A permis"/>
    <x:tableColumn id="5" name="Attendu"/>
    <x:tableColumn id="6" name="Preuves acceptées"/>
    <x:tableColumn id="7" name="Statut"/>
    <x:tableColumn id="8" name="Propriétaire"/>
    <x:tableColumn id="9" name="Vérifiée le"/>
    <x:tableColumn id="10" name="Référence de preuve"/>
    <x:tableColumn id="11" name="Justification N/A"/>
    <x:tableColumn id="12" name="Approbateur N/A"/>
    <x:tableColumn id="13" name="Résultat"/>
    <x:tableColumn id="14" name="STOP bloquant"/>
    <x:tableColumn id="15" name="Bloquant non résolu"/>
    <x:tableColumn id="16" name="Majeur non résolu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Source_Build" displayName="T_Source_Build" ref="B5:N32" headerRowCount="1" totalsRowCount="0" totalsRowShown="0">
  <x:autoFilter ref="B5:N32"/>
  <x:tableColumns count="13">
    <x:tableColumn id="1" name="ID"/>
    <x:tableColumn id="2" name="Plateforme"/>
    <x:tableColumn id="3" name="Capacité"/>
    <x:tableColumn id="4" name="Ce qui ne suit pas"/>
    <x:tableColumn id="5" name="Preuve à exécuter"/>
    <x:tableColumn id="6" name="Frontière"/>
    <x:tableColumn id="7" name="Source"/>
    <x:tableColumn id="8" name="Revue"/>
    <x:tableColumn id="9" name="Statut"/>
    <x:tableColumn id="10" name="Propriétaire"/>
    <x:tableColumn id="11" name="Date"/>
    <x:tableColumn id="12" name="Réf exécution"/>
    <x:tableColumn id="13" name="Résult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BOM" displayName="T_SBOM" ref="B5:N13" headerRowCount="1" totalsRowCount="0" totalsRowShown="0">
  <x:autoFilter ref="B5:N13"/>
  <x:tableColumns count="13">
    <x:tableColumn id="1" name="ID"/>
    <x:tableColumn id="2" name="Couche"/>
    <x:tableColumn id="3" name="Périmètre"/>
    <x:tableColumn id="4" name="Composant"/>
    <x:tableColumn id="5" name="Version"/>
    <x:tableColumn id="6" name="Licence"/>
    <x:tableColumn id="7" name="Obligations / restriction"/>
    <x:tableColumn id="8" name="Source / provenance"/>
    <x:tableColumn id="9" name="Réf SBOM"/>
    <x:tableColumn id="10" name="Date ISO"/>
    <x:tableColumn id="11" name="Propriétaire"/>
    <x:tableColumn id="12" name="Décision"/>
    <x:tableColumn id="13" name="Résult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Restore" displayName="T_Restore" ref="B5:N13" headerRowCount="1" totalsRowCount="0" totalsRowShown="0">
  <x:autoFilter ref="B5:N13"/>
  <x:tableColumns count="13">
    <x:tableColumn id="1" name="ID"/>
    <x:tableColumn id="2" name="Couche"/>
    <x:tableColumn id="3" name="Contenu contrôlé"/>
    <x:tableColumn id="4" name="Nombre avant"/>
    <x:tableColumn id="5" name="Nombre après"/>
    <x:tableColumn id="6" name="Écart"/>
    <x:tableColumn id="7" name="Checksum / requête"/>
    <x:tableColumn id="8" name="Début ISO"/>
    <x:tableColumn id="9" name="Fin ISO"/>
    <x:tableColumn id="10" name="Preuve"/>
    <x:tableColumn id="11" name="Propriétaire"/>
    <x:tableColumn id="12" name="Date de contrôle"/>
    <x:tableColumn id="13" name="Résult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Rto_Rpo" displayName="T_Rto_Rpo" ref="B5:M10" headerRowCount="1" totalsRowCount="0" totalsRowShown="0">
  <x:autoFilter ref="B5:M10"/>
  <x:tableColumns count="12">
    <x:tableColumn id="1" name="ID"/>
    <x:tableColumn id="2" name="Parcours"/>
    <x:tableColumn id="3" name="RTO cible (h)"/>
    <x:tableColumn id="4" name="RTO mesuré (h)"/>
    <x:tableColumn id="5" name="RPO cible (h)"/>
    <x:tableColumn id="6" name="RPO mesuré (h)"/>
    <x:tableColumn id="7" name="Scénario testé"/>
    <x:tableColumn id="8" name="Date ISO"/>
    <x:tableColumn id="9" name="Réf preuve"/>
    <x:tableColumn id="10" name="Propriétaire"/>
    <x:tableColumn id="11" name="Approbateur"/>
    <x:tableColumn id="12" name="Résult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Acces" displayName="T_Acces" ref="B5:N13" headerRowCount="1" totalsRowCount="0" totalsRowShown="0">
  <x:autoFilter ref="B5:N13"/>
  <x:tableColumns count="13">
    <x:tableColumn id="1" name="ID"/>
    <x:tableColumn id="2" name="Ressource"/>
    <x:tableColumn id="3" name="Action attendue"/>
    <x:tableColumn id="4" name="Compte entreprise"/>
    <x:tableColumn id="5" name="Rôle attendu"/>
    <x:tableColumn id="6" name="Rôle observé"/>
    <x:tableColumn id="7" name="Tenant / environnement"/>
    <x:tableColumn id="8" name="Réf secret (jamais valeur)"/>
    <x:tableColumn id="9" name="Test de récupération"/>
    <x:tableColumn id="10" name="Preuve"/>
    <x:tableColumn id="11" name="Date ISO"/>
    <x:tableColumn id="12" name="Propriétaire"/>
    <x:tableColumn id="13" name="Résult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Parcours_Metier" displayName="T_Parcours_Metier" ref="B5:M15" headerRowCount="1" totalsRowCount="0" totalsRowShown="0">
  <x:autoFilter ref="B5:M15"/>
  <x:tableColumns count="12">
    <x:tableColumn id="1" name="ID"/>
    <x:tableColumn id="2" name="Parcours"/>
    <x:tableColumn id="3" name="Invariant attendu"/>
    <x:tableColumn id="4" name="Précondition"/>
    <x:tableColumn id="5" name="Jeu de données"/>
    <x:tableColumn id="6" name="Action"/>
    <x:tableColumn id="7" name="Résultat observé"/>
    <x:tableColumn id="8" name="Réconciliation"/>
    <x:tableColumn id="9" name="Preuve"/>
    <x:tableColumn id="10" name="Date ISO"/>
    <x:tableColumn id="11" name="Propriétaire"/>
    <x:tableColumn id="12" name="Résult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Production" displayName="T_Production" ref="B5:M13" headerRowCount="1" totalsRowCount="0" totalsRowShown="0">
  <x:autoFilter ref="B5:M13"/>
  <x:tableColumns count="12">
    <x:tableColumn id="1" name="ID"/>
    <x:tableColumn id="2" name="Contrôle"/>
    <x:tableColumn id="3" name="Attendu"/>
    <x:tableColumn id="4" name="Environnement"/>
    <x:tableColumn id="5" name="Seuil / SLO"/>
    <x:tableColumn id="6" name="Mesure"/>
    <x:tableColumn id="7" name="Fenêtre"/>
    <x:tableColumn id="8" name="Alerte / runbook"/>
    <x:tableColumn id="9" name="Preuve"/>
    <x:tableColumn id="10" name="Date ISO"/>
    <x:tableColumn id="11" name="Propriétaire"/>
    <x:tableColumn id="12" name="Résult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Migration" displayName="T_Migration" ref="B5:N13" headerRowCount="1" totalsRowCount="0" totalsRowShown="0">
  <x:autoFilter ref="B5:N13"/>
  <x:tableColumns count="13">
    <x:tableColumn id="1" name="ID"/>
    <x:tableColumn id="2" name="Phase"/>
    <x:tableColumn id="3" name="Critère"/>
    <x:tableColumn id="4" name="Autorité"/>
    <x:tableColumn id="5" name="Entrée"/>
    <x:tableColumn id="6" name="Sortie"/>
    <x:tableColumn id="7" name="Rollback"/>
    <x:tableColumn id="8" name="Réconciliation"/>
    <x:tableColumn id="9" name="Preuve"/>
    <x:tableColumn id="10" name="Date ISO"/>
    <x:tableColumn id="11" name="Propriétaire"/>
    <x:tableColumn id="12" name="Statut"/>
    <x:tableColumn id="13" name="Résulta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Hypotheses_TCO" displayName="T_Hypotheses_TCO" ref="B5:M10" headerRowCount="1" totalsRowCount="0" totalsRowShown="0">
  <x:autoFilter ref="B5:M10"/>
  <x:tableColumns count="12">
    <x:tableColumn id="1" name="ID"/>
    <x:tableColumn id="2" name="Trajectoire"/>
    <x:tableColumn id="3" name="Ponctuel (€)"/>
    <x:tableColumn id="4" name="Mensuel (€)"/>
    <x:tableColumn id="5" name="Annuel (€)"/>
    <x:tableColumn id="6" name="Heures internes ponctuelles"/>
    <x:tableColumn id="7" name="Heures internes / mois"/>
    <x:tableColumn id="8" name="Taux interne (€/h)"/>
    <x:tableColumn id="9" name="Double run (mois)"/>
    <x:tableColumn id="10" name="Double run (€/mois)"/>
    <x:tableColumn id="11" name="Sortie (€)"/>
    <x:tableColumn id="12" name="Validité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TCO_12_36_60" displayName="T_TCO_12_36_60" ref="B5:G10" headerRowCount="1" totalsRowCount="0" totalsRowShown="0">
  <x:autoFilter ref="B5:G10"/>
  <x:tableColumns count="6">
    <x:tableColumn id="1" name="Trajectoire"/>
    <x:tableColumn id="2" name="12"/>
    <x:tableColumn id="3" name="36"/>
    <x:tableColumn id="4" name="60"/>
    <x:tableColumn id="5" name="Validité agrégat"/>
    <x:tableColumn id="6" name="Finalité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Risque_Entrees" displayName="T_Risque_Entrees" ref="B5:E16" headerRowCount="1" totalsRowCount="0" totalsRowShown="0">
  <x:autoFilter ref="B5:E16"/>
  <x:tableColumns count="4">
    <x:tableColumn id="1" name="Paramètre"/>
    <x:tableColumn id="2" name="Entrée"/>
    <x:tableColumn id="3" name="Unité"/>
    <x:tableColumn id="4" name="Limite / rè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Decision" displayName="T_Decision" ref="B5:E18" headerRowCount="1" totalsRowCount="0" totalsRowShown="0">
  <x:autoFilter ref="B5:E18"/>
  <x:tableColumns count="4">
    <x:tableColumn id="1" name="Contrôle"/>
    <x:tableColumn id="2" name="Valeur"/>
    <x:tableColumn id="3" name="Règle"/>
    <x:tableColumn id="4" name="Effe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Tests" displayName="T_Tests" ref="B5:H41" headerRowCount="1" totalsRowCount="0" totalsRowShown="0">
  <x:autoFilter ref="B5:H41"/>
  <x:tableColumns count="7">
    <x:tableColumn id="1" name="ID"/>
    <x:tableColumn id="2" name="Famille"/>
    <x:tableColumn id="3" name="Cible"/>
    <x:tableColumn id="4" name="Injection"/>
    <x:tableColumn id="5" name="Attendu"/>
    <x:tableColumn id="6" name="Exécution"/>
    <x:tableColumn id="7" name="Résulta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Controles" displayName="T_Controles" ref="B5:H37" headerRowCount="1" totalsRowCount="0" totalsRowShown="0">
  <x:autoFilter ref="B5:H37"/>
  <x:tableColumns count="7">
    <x:tableColumn id="1" name="Contrôle"/>
    <x:tableColumn id="2" name="Réel"/>
    <x:tableColumn id="3" name="Attendu"/>
    <x:tableColumn id="4" name="Tolérance"/>
    <x:tableColumn id="5" name="Statut"/>
    <x:tableColumn id="6" name="Où corriger"/>
    <x:tableColumn id="7" name="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Sources" displayName="T_Sources" ref="B5:H42" headerRowCount="1" totalsRowCount="0" totalsRowShown="0">
  <x:autoFilter ref="B5:H42"/>
  <x:tableColumns count="7">
    <x:tableColumn id="1" name="ID"/>
    <x:tableColumn id="2" name="Zone"/>
    <x:tableColumn id="3" name="Organisme"/>
    <x:tableColumn id="4" name="Titre"/>
    <x:tableColumn id="5" name="URL officielle"/>
    <x:tableColumn id="6" name="Usage"/>
    <x:tableColumn id="7" name="Limite / rev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18" dT="2026-07-29T01:27:58.618" personId="{DD67BD42-00AC-4AE9-9AA2-67755E8DF7A2}" id="{13A25FF7-1FB7-6817-956C-FA4D9EC2E0F4}">
    <xltc:text>Passer à OUI uniquement après remplacement et sourçage de toutes les valeurs fictives héritées.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6" dT="2026-07-29T01:27:58.617" personId="{DD67BD42-00AC-4AE9-9AA2-67755E8DF7A2}" id="{E98B1267-0255-5910-BC60-2505EDF0EFF3}">
    <xltc:text>Hypothèse fictive. À remplacer par une estimation sourcée, datée et approuvée.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C14" dT="2026-07-29T01:27:58.618" personId="{DD67BD42-00AC-4AE9-9AA2-67755E8DF7A2}" id="{F6C512AA-1CF1-4692-B4DF-F194F5A30442}">
    <xltc:text>Probabilité nullable. Si elle est renseignée, la source et la date deviennent obligatoires.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dedd01040df4f15" /><Relationship Type="http://schemas.openxmlformats.org/officeDocument/2006/relationships/vmlDrawing" Target="/xl/drawings/vmldrawing.vml" Id="Ra6e2111d492646ac" /><Relationship Type="http://schemas.microsoft.com/office/2017/10/relationships/threadedComment" Target="/xl/threadedcomments/threadedcomment.xml" Id="R4ebd401b932c4139" /><Relationship Type="http://schemas.openxmlformats.org/officeDocument/2006/relationships/table" Target="/xl/tables/table1.xml" Id="Ra4b2d44d0e364f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61135029b347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68ce0627b749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59af1601b6d4d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0b1454389c49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87e91de473345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964de080a844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9c3483b7eda47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35fb63e60494b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1fc40ee534a4e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2.xml" Id="R3b0b96472ebf4e98" /><Relationship Type="http://schemas.openxmlformats.org/officeDocument/2006/relationships/vmlDrawing" Target="/xl/drawings/vmldrawing2.vml" Id="Rc1a2be0ea4a44c93" /><Relationship Type="http://schemas.microsoft.com/office/2017/10/relationships/threadedComment" Target="/xl/threadedcomments/threadedcomment2.xml" Id="R79e9d1107af84de5" /><Relationship Type="http://schemas.openxmlformats.org/officeDocument/2006/relationships/table" Target="/xl/tables/table11.xml" Id="Rcc6704d9f3b6429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baf9e992bdf49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3.xml" Id="Re62a9000ef174288" /><Relationship Type="http://schemas.openxmlformats.org/officeDocument/2006/relationships/vmlDrawing" Target="/xl/drawings/vmldrawing3.vml" Id="Rbb98af0dc1614a19" /><Relationship Type="http://schemas.microsoft.com/office/2017/10/relationships/threadedComment" Target="/xl/threadedcomments/threadedcomment3.xml" Id="R83e44dc93c2d4a37" /><Relationship Type="http://schemas.openxmlformats.org/officeDocument/2006/relationships/table" Target="/xl/tables/table13.xml" Id="R35157784c018433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1db60cf9dd2416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91060145ad64d9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2387ccf3d9443d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ce6ed95e3d348c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LIRE D ABORD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Mode d’emploi, garde-fous, contexte et légende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Règle</x:v>
      </x:c>
      <x:c r="C5" s="11" t="str">
        <x:v>Application</x:v>
      </x:c>
      <x:c r="D5" s="11" t="str">
        <x:v>Couleur</x:v>
      </x:c>
      <x:c r="E5" s="11" t="str">
        <x:v>Sens</x:v>
      </x:c>
      <x:c r="F5" s="11" t="str">
        <x:v>Statut</x:v>
      </x:c>
      <x:c r="G5" s="11" t="str">
        <x:v>Limite</x:v>
      </x:c>
      <x:c r="J5" s="30" t="str">
        <x:v>CONSTANTES DU MODÈLE</x:v>
      </x:c>
      <x:c r="K5" s="30"/>
    </x:row>
    <x:row r="6" ht="30" customHeight="1">
      <x:c r="B6" s="16" t="str">
        <x:v>Aucune inconnue à zéro</x:v>
      </x:c>
      <x:c r="C6" s="16" t="str">
        <x:v>Laisser vide : le résultat reste ND, INCONNU ou STOP</x:v>
      </x:c>
      <x:c r="D6" s="20" t="str">
        <x:v>Bleu</x:v>
      </x:c>
      <x:c r="E6" s="16" t="str">
        <x:v>Entrée utilisateur</x:v>
      </x:c>
      <x:c r="F6" s="16" t="str">
        <x:v>CANDIDAT</x:v>
      </x:c>
      <x:c r="G6" s="16" t="str">
        <x:v>Aucun résultat ne vaut devis, audit ou certification</x:v>
      </x:c>
      <x:c r="J6" s="16" t="str">
        <x:v>MAX_MONTANT_EUR</x:v>
      </x:c>
      <x:c r="K6" s="33" t="n">
        <x:v>1000000000</x:v>
      </x:c>
    </x:row>
    <x:row r="7" ht="30" customHeight="1">
      <x:c r="B7" s="16" t="str">
        <x:v>N/A contrôlé</x:v>
      </x:c>
      <x:c r="C7" s="16" t="str">
        <x:v>Uniquement si le domaine l’autorise, avec justification et approbateur</x:v>
      </x:c>
      <x:c r="D7" s="23" t="str">
        <x:v>Vert</x:v>
      </x:c>
      <x:c r="E7" s="16" t="str">
        <x:v>Formule / lien interne</x:v>
      </x:c>
      <x:c r="F7" s="16" t="str">
        <x:v>2026-07-28</x:v>
      </x:c>
      <x:c r="G7" s="16" t="str">
        <x:v>Aucune date de preuve future n’est admise</x:v>
      </x:c>
      <x:c r="J7" s="16" t="str">
        <x:v>MAX_HEURES</x:v>
      </x:c>
      <x:c r="K7" s="33" t="n">
        <x:v>1000000</x:v>
      </x:c>
    </x:row>
    <x:row r="8" ht="30" customHeight="1">
      <x:c r="B8" s="16" t="str">
        <x:v>STOP prioritaire</x:v>
      </x:c>
      <x:c r="C8" s="16" t="str">
        <x:v>Aucun score, coût ou économie ne compense un STOP</x:v>
      </x:c>
      <x:c r="D8" s="25" t="str">
        <x:v>Orange</x:v>
      </x:c>
      <x:c r="E8" s="16" t="str">
        <x:v>Inconnu / à confirmer</x:v>
      </x:c>
      <x:c r="F8" s="16" t="str">
        <x:v>EXEMPLE FICTIF</x:v>
      </x:c>
      <x:c r="G8" s="16" t="str">
        <x:v>Tous les montants doivent être remplacés et sourcés</x:v>
      </x:c>
      <x:c r="J8" s="16" t="str">
        <x:v>MAX_COMPTES</x:v>
      </x:c>
      <x:c r="K8" s="33" t="n">
        <x:v>10000000</x:v>
      </x:c>
    </x:row>
    <x:row r="9" ht="30" customHeight="1">
      <x:c r="B9" s="16" t="str">
        <x:v>Données héritées</x:v>
      </x:c>
      <x:c r="C9" s="16" t="str">
        <x:v>La décision finale reste bloquée jusqu’à confirmation explicite</x:v>
      </x:c>
      <x:c r="D9" s="27" t="str">
        <x:v>Rouge</x:v>
      </x:c>
      <x:c r="E9" s="16" t="str">
        <x:v>STOP / échec</x:v>
      </x:c>
      <x:c r="F9" s="16" t="str">
        <x:v>AUCUN SECRET</x:v>
      </x:c>
      <x:c r="G9" s="16" t="str">
        <x:v>Le scan de secrets est best effort, jamais une garantie</x:v>
      </x:c>
      <x:c r="J9" s="16" t="str">
        <x:v>MAX_AGREGAT_EUR</x:v>
      </x:c>
      <x:c r="K9" s="33" t="n">
        <x:v>10000000000</x:v>
      </x:c>
    </x:row>
    <x:row r="10" ht="30" customHeight="1">
      <x:c r="B10" s="16" t="str">
        <x:v>Sécurité financière</x:v>
      </x:c>
      <x:c r="C10" s="16" t="str">
        <x:v>Montant individuel ≤ 1 Md€ ; agrégat ≤ 10 Md€</x:v>
      </x:c>
      <x:c r="D10" s="16" t="str">
        <x:v>Gris</x:v>
      </x:c>
      <x:c r="E10" s="16" t="str">
        <x:v>Contexte / exemple</x:v>
      </x:c>
      <x:c r="F10" s="16" t="str">
        <x:v>Cents sûrs</x:v>
      </x:c>
      <x:c r="G10" s="16" t="str">
        <x:v>Deux décimales au plus ; heures ≤ 1 M ; comptes ≤ 10 M</x:v>
      </x:c>
      <x:c r="J10" s="16" t="str">
        <x:v>DATE_MAX_ISO</x:v>
      </x:c>
      <x:c r="K10" s="34" t="str">
        <x:v>2026-07-28</x:v>
      </x:c>
    </x:row>
    <x:row r="11" ht="30" customHeight="1">
      <x:c r="B11" s="17" t="str">
        <x:v>Recalcul</x:v>
      </x:c>
      <x:c r="C11" s="17" t="str">
        <x:v>@oai/artifact-tool uniquement</x:v>
      </x:c>
      <x:c r="D11" s="17" t="str">
        <x:v>ISO</x:v>
      </x:c>
      <x:c r="E11" s="17" t="str">
        <x:v>Dates yyyy-mm-dd</x:v>
      </x:c>
      <x:c r="F11" s="17" t="str">
        <x:v>PAS EXCEL</x:v>
      </x:c>
      <x:c r="G11" s="17" t="str">
        <x:v>Aucune recalculation Microsoft Excel réelle dans cette génération</x:v>
      </x:c>
      <x:c r="J11" s="17" t="str">
        <x:v>DECIMALES_MAX</x:v>
      </x:c>
      <x:c r="K11" s="35" t="n">
        <x:v>2</x:v>
      </x:c>
    </x:row>
    <x:row r="13">
      <x:c r="B13" s="30" t="str">
        <x:v>CONTEXTE DU DOSSIER — À REMPLACER</x:v>
      </x:c>
      <x:c r="C13" s="30"/>
      <x:c r="D13" s="30"/>
      <x:c r="E13" s="30"/>
      <x:c r="F13" s="30"/>
      <x:c r="G13" s="30"/>
      <x:c r="J13" s="30" t="str">
        <x:v>SORTIES</x:v>
      </x:c>
      <x:c r="K13" s="30"/>
      <x:c r="L13" s="30"/>
      <x:c r="M13" s="30"/>
      <x:c r="N13" s="30"/>
    </x:row>
    <x:row r="14" ht="34" customHeight="1">
      <x:c r="B14" s="16" t="str">
        <x:v>Référence du dossier</x:v>
      </x:c>
      <x:c r="C14" s="19" t="str">
        <x:v>CAS-FICTIF-MVP-001</x:v>
      </x:c>
      <x:c r="J14" s="16" t="str">
        <x:v>Étape</x:v>
      </x:c>
      <x:c r="K14" s="22" t="str">
        <x:f>'DECISION'!$C$13</x:f>
        <x:v>DECISION_HUMAINE</x:v>
      </x:c>
    </x:row>
    <x:row r="15" ht="34" customHeight="1">
      <x:c r="B15" s="16" t="str">
        <x:v>Date d’évaluation ISO</x:v>
      </x:c>
      <x:c r="C15" s="19" t="str">
        <x:v>2026-07-28</x:v>
      </x:c>
      <x:c r="J15" s="16" t="str">
        <x:v>Finalisation</x:v>
      </x:c>
      <x:c r="K15" s="22" t="str">
        <x:f>'DECISION'!$C$18</x:f>
        <x:v>BLOQUE_EXEMPLE_FICTIF</x:v>
      </x:c>
    </x:row>
    <x:row r="16" ht="34" customHeight="1">
      <x:c r="B16" s="16" t="str">
        <x:v>Périmètre commun</x:v>
      </x:c>
      <x:c r="C16" s="19" t="str">
        <x:v>Mêmes parcours, volumes, sécurité, continuité et obligations pour les cinq trajectoires.</x:v>
      </x:c>
      <x:c r="J16" s="16" t="str">
        <x:v>Statut modèle</x:v>
      </x:c>
      <x:c r="K16" s="22" t="str">
        <x:f>'CONTROLES'!$B$4</x:f>
        <x:v>MODEL STATUS: PASS</x:v>
      </x:c>
    </x:row>
    <x:row r="17" ht="34" customHeight="1">
      <x:c r="B17" s="16" t="str">
        <x:v>Mode</x:v>
      </x:c>
      <x:c r="C17" s="19" t="str">
        <x:v>normal</x:v>
      </x:c>
      <x:c r="J17" s="16" t="str">
        <x:v>TCO comparable</x:v>
      </x:c>
      <x:c r="K17" s="22" t="str">
        <x:f>'DECISION'!$C$10</x:f>
        <x:v>CONNU</x:v>
      </x:c>
    </x:row>
    <x:row r="18" ht="34" customHeight="1">
      <x:c r="B18" s="16" t="str">
        <x:v>Valeurs fictives remplacées et sourcées ?</x:v>
      </x:c>
      <x:c r="C18" s="19" t="str">
        <x:v>NON</x:v>
      </x:c>
      <x:c r="J18" s="17" t="str">
        <x:v>Risque de panne</x:v>
      </x:c>
      <x:c r="K18" s="23" t="str">
        <x:f>'DECISION'!$C$11</x:f>
        <x:v>VALIDE</x:v>
      </x:c>
    </x:row>
    <x:row r="19" ht="42" customHeight="1">
      <x:c r="B19" s="16" t="str">
        <x:v>Références sans secret confirmées ?</x:v>
      </x:c>
      <x:c r="C19" s="19" t="str">
        <x:v>NON</x:v>
      </x:c>
    </x:row>
    <x:row r="20" ht="42" customHeight="1">
      <x:c r="B20" s="17" t="str">
        <x:v>Usage</x:v>
      </x:c>
      <x:c r="C20" s="20" t="str">
        <x:v>BROUILLON</x:v>
      </x:c>
    </x:row>
  </x:sheetData>
  <x:mergeCells>
    <x:mergeCell ref="A1:N2"/>
    <x:mergeCell ref="A3:N3"/>
    <x:mergeCell ref="B13:G13"/>
    <x:mergeCell ref="J5:K5"/>
    <x:mergeCell ref="J13:N13"/>
  </x:mergeCells>
  <x:conditionalFormatting sqref="K14:K18">
    <x:cfRule type="containsText" dxfId="0" priority="1" operator="containsText" text="STOP"/>
    <x:cfRule type="containsText" dxfId="1" priority="2" operator="containsText" text="INCONNU"/>
    <x:cfRule type="containsText" dxfId="2" priority="3" operator="containsText" text="INVALIDE"/>
    <x:cfRule type="containsText" dxfId="3" priority="4" operator="containsText" text="PASS"/>
    <x:cfRule type="containsText" dxfId="4" priority="5" operator="containsText" text="RESOLU"/>
    <x:cfRule type="containsText" dxfId="5" priority="6" operator="containsText" text="VALIDE"/>
  </x:conditionalFormatting>
  <x:dataValidations count="3">
    <x:dataValidation type="list" sqref="C17">
      <x:formula1>"unknown,normal,incident,dispute,no-authority"</x:formula1>
    </x:dataValidation>
    <x:dataValidation type="list" sqref="C18:C19">
      <x:formula1>"NON,OUI"</x:formula1>
    </x:dataValidation>
    <x:dataValidation type="list" sqref="C20">
      <x:formula1>"BROUILLON,INTERNE,FINAL"</x:formula1>
    </x:dataValidation>
  </x:dataValidations>
  <x:pageMargins left="0.7" right="0.7" top="0.75" bottom="0.75" header="0.3" footer="0.3"/>
  <x:legacyDrawing xmlns:r="http://schemas.openxmlformats.org/officeDocument/2006/relationships" r:id="Ra6e2111d492646ac"/>
  <x:tableParts count="1">
    <x:tablePart xmlns:r="http://schemas.openxmlformats.org/officeDocument/2006/relationships" r:id="Ra4b2d44d0e364ff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  <x:selection pane="bottomRigh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INVENTAIRE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32" customHeight="1">
      <x:c r="A3" s="7" t="str">
        <x:v>Neuf domaines de preuve, qualification et décision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5" ht="34" customHeight="1">
      <x:c r="B5" s="11" t="str">
        <x:v>ID</x:v>
      </x:c>
      <x:c r="C5" s="11" t="str">
        <x:v>Domaine</x:v>
      </x:c>
      <x:c r="D5" s="11" t="str">
        <x:v>Sévérité</x:v>
      </x:c>
      <x:c r="E5" s="11" t="str">
        <x:v>N/A permis</x:v>
      </x:c>
      <x:c r="F5" s="11" t="str">
        <x:v>Attendu</x:v>
      </x:c>
      <x:c r="G5" s="11" t="str">
        <x:v>Preuves acceptées</x:v>
      </x:c>
      <x:c r="H5" s="11" t="str">
        <x:v>Statut</x:v>
      </x:c>
      <x:c r="I5" s="11" t="str">
        <x:v>Propriétaire</x:v>
      </x:c>
      <x:c r="J5" s="11" t="str">
        <x:v>Vérifiée le</x:v>
      </x:c>
      <x:c r="K5" s="11" t="str">
        <x:v>Référence de preuve</x:v>
      </x:c>
      <x:c r="L5" s="11" t="str">
        <x:v>Justification N/A</x:v>
      </x:c>
      <x:c r="M5" s="11" t="str">
        <x:v>Approbateur N/A</x:v>
      </x:c>
      <x:c r="N5" s="11" t="str">
        <x:v>Résultat</x:v>
      </x:c>
      <x:c r="O5" s="11" t="str">
        <x:v>STOP bloquant</x:v>
      </x:c>
      <x:c r="P5" s="11" t="str">
        <x:v>Bloquant non résolu</x:v>
      </x:c>
      <x:c r="Q5" s="11" t="str">
        <x:v>Majeur non résolu</x:v>
      </x:c>
    </x:row>
    <x:row r="6" ht="84" customHeight="1">
      <x:c r="B6" s="16" t="str">
        <x:v>inventory-ownership</x:v>
      </x:c>
      <x:c r="C6" s="16" t="str">
        <x:v>Inventaire et contrôle des actifs</x:v>
      </x:c>
      <x:c r="D6" s="16" t="str">
        <x:v>blocking</x:v>
      </x:c>
      <x:c r="E6" s="16" t="str">
        <x:v>Non</x:v>
      </x:c>
      <x:c r="F6" s="16" t="str">
        <x:v>Les huit couches — code, construction, hébergement, données, fichiers, identités, services externes et exploitation — ont un propriétaire, un compte d’entreprise, un environnement, une région, une procédure de récupération et une preuve datée.</x:v>
      </x:c>
      <x:c r="G6" s="16" t="str">
        <x:v>registre des actifs relu par leur propriétaire | comptes et organisations administrés par l’entreprise | contrats, factures et procédures de récupération datés</x:v>
      </x:c>
      <x:c r="H6" s="19" t="str">
        <x:v>verified</x:v>
      </x:c>
      <x:c r="I6" s="19" t="str">
        <x:v>Responsable fictif</x:v>
      </x:c>
      <x:c r="J6" s="19" t="str">
        <x:v>2026-07-28</x:v>
      </x:c>
      <x:c r="K6" s="19" t="str">
        <x:v>PREUVE-FICTIVE-INVENTORY-OWNERSHIP</x:v>
      </x:c>
      <x:c r="L6" s="19" t="str"/>
      <x:c r="M6" s="19" t="str"/>
      <x:c r="N6" s="22" t="str">
        <x:f>IF(H6="failed","STOP",IF(H6="NA",IF(AND(E6="Oui",LEN(L6)&gt;=8,LEN(M6)&gt;=3),"RESOLU","STOP"),IF(H6="verified",IF(AND(LEN(I6)&gt;=3,LEN(J6)=10,J6&lt;='LIRE_D_ABORD'!$C$15,J6&lt;='LIRE_D_ABORD'!$K$10,LEN(K6)&gt;=6),"RESOLU","INVALIDE"),IF(OR(H6="unknown",H6="declared"),"INCONNU","INVALIDE"))))</x:f>
        <x:v>RESOLU</x:v>
      </x:c>
      <x:c r="O6" s="22" t="n">
        <x:f>IF(AND(D6="blocking",N6="STOP"),1,0)</x:f>
        <x:v>0</x:v>
      </x:c>
      <x:c r="P6" s="22" t="n">
        <x:f>IF(AND(D6="blocking",N6&lt;&gt;"RESOLU"),1,0)</x:f>
        <x:v>0</x:v>
      </x:c>
      <x:c r="Q6" s="22" t="n">
        <x:f>IF(AND(D6="major",N6&lt;&gt;"RESOLU"),1,0)</x:f>
        <x:v>0</x:v>
      </x:c>
    </x:row>
    <x:row r="7" ht="84" customHeight="1">
      <x:c r="B7" s="16" t="str">
        <x:v>source-build-artifact</x:v>
      </x:c>
      <x:c r="C7" s="16" t="str">
        <x:v>Source, build, artefact et déploiement</x:v>
      </x:c>
      <x:c r="D7" s="16" t="str">
        <x:v>blocking</x:v>
      </x:c>
      <x:c r="E7" s="16" t="str">
        <x:v>Non</x:v>
      </x:c>
      <x:c r="F7" s="16" t="str">
        <x:v>Un commit, son lockfile, le runtime, la commande de construction, les migrations, le pipeline, l’artefact produit, son empreinte et le déploiement observé sont reliés sans exposer de secret.</x:v>
      </x:c>
      <x:c r="G7" s="16" t="str">
        <x:v>construction propre dans un environnement isolé | identifiant de build et empreinte de l’artefact | déploiement d’une copie et retour arrière exécuté</x:v>
      </x:c>
      <x:c r="H7" s="19" t="str">
        <x:v>verified</x:v>
      </x:c>
      <x:c r="I7" s="19" t="str">
        <x:v>Responsable fictif</x:v>
      </x:c>
      <x:c r="J7" s="19" t="str">
        <x:v>2026-07-28</x:v>
      </x:c>
      <x:c r="K7" s="19" t="str">
        <x:v>PREUVE-FICTIVE-SOURCE-BUILD-ARTIFACT</x:v>
      </x:c>
      <x:c r="L7" s="19" t="str"/>
      <x:c r="M7" s="19" t="str"/>
      <x:c r="N7" s="22" t="str">
        <x:f>IF(H7="failed","STOP",IF(H7="NA",IF(AND(E7="Oui",LEN(L7)&gt;=8,LEN(M7)&gt;=3),"RESOLU","STOP"),IF(H7="verified",IF(AND(LEN(I7)&gt;=3,LEN(J7)=10,J7&lt;='LIRE_D_ABORD'!$C$15,J7&lt;='LIRE_D_ABORD'!$K$10,LEN(K7)&gt;=6),"RESOLU","INVALIDE"),IF(OR(H7="unknown",H7="declared"),"INCONNU","INVALIDE"))))</x:f>
        <x:v>RESOLU</x:v>
      </x:c>
      <x:c r="O7" s="22" t="n">
        <x:f>IF(AND(D7="blocking",N7="STOP"),1,0)</x:f>
        <x:v>0</x:v>
      </x:c>
      <x:c r="P7" s="22" t="n">
        <x:f>IF(AND(D7="blocking",N7&lt;&gt;"RESOLU"),1,0)</x:f>
        <x:v>0</x:v>
      </x:c>
      <x:c r="Q7" s="22" t="n">
        <x:f>IF(AND(D7="major",N7&lt;&gt;"RESOLU"),1,0)</x:f>
        <x:v>0</x:v>
      </x:c>
    </x:row>
    <x:row r="8" ht="84" customHeight="1">
      <x:c r="B8" s="16" t="str">
        <x:v>supply-chain-licenses</x:v>
      </x:c>
      <x:c r="C8" s="16" t="str">
        <x:v>Supply chain, SBOM, licences et fin de support</x:v>
      </x:c>
      <x:c r="D8" s="16" t="str">
        <x:v>major</x:v>
      </x:c>
      <x:c r="E8" s="16" t="str">
        <x:v>Non</x:v>
      </x:c>
      <x:c r="F8" s="16" t="str">
        <x:v>Les composants directs, transitifs et copiés sont inventoriés avec version, provenance, licence, mainteneur, vulnérabilités connues, fin de support et décision de mise à jour.</x:v>
      </x:c>
      <x:c r="G8" s="16" t="str">
        <x:v>SBOM CycloneDX ou SPDX associé à l’artefact | revue des licences et composants non packagés | registre de traitement des vulnérabilités et fins de support</x:v>
      </x:c>
      <x:c r="H8" s="19" t="str">
        <x:v>verified</x:v>
      </x:c>
      <x:c r="I8" s="19" t="str">
        <x:v>Responsable fictif</x:v>
      </x:c>
      <x:c r="J8" s="19" t="str">
        <x:v>2026-07-28</x:v>
      </x:c>
      <x:c r="K8" s="19" t="str">
        <x:v>PREUVE-FICTIVE-SUPPLY-CHAIN-LICENSES</x:v>
      </x:c>
      <x:c r="L8" s="19" t="str"/>
      <x:c r="M8" s="19" t="str"/>
      <x:c r="N8" s="22" t="str">
        <x:f>IF(H8="failed","STOP",IF(H8="NA",IF(AND(E8="Oui",LEN(L8)&gt;=8,LEN(M8)&gt;=3),"RESOLU","STOP"),IF(H8="verified",IF(AND(LEN(I8)&gt;=3,LEN(J8)=10,J8&lt;='LIRE_D_ABORD'!$C$15,J8&lt;='LIRE_D_ABORD'!$K$10,LEN(K8)&gt;=6),"RESOLU","INVALIDE"),IF(OR(H8="unknown",H8="declared"),"INCONNU","INVALIDE"))))</x:f>
        <x:v>RESOLU</x:v>
      </x:c>
      <x:c r="O8" s="22" t="n">
        <x:f>IF(AND(D8="blocking",N8="STOP"),1,0)</x:f>
        <x:v>0</x:v>
      </x:c>
      <x:c r="P8" s="22" t="n">
        <x:f>IF(AND(D8="blocking",N8&lt;&gt;"RESOLU"),1,0)</x:f>
        <x:v>0</x:v>
      </x:c>
      <x:c r="Q8" s="22" t="n">
        <x:f>IF(AND(D8="major",N8&lt;&gt;"RESOLU"),1,0)</x:f>
        <x:v>0</x:v>
      </x:c>
    </x:row>
    <x:row r="9" ht="84" customHeight="1">
      <x:c r="B9" s="16" t="str">
        <x:v>data-restore-continuity</x:v>
      </x:c>
      <x:c r="C9" s="16" t="str">
        <x:v>Données, restauration, RPO et RTO</x:v>
      </x:c>
      <x:c r="D9" s="16" t="str">
        <x:v>blocking</x:v>
      </x:c>
      <x:c r="E9" s="16" t="str">
        <x:v>Non</x:v>
      </x:c>
      <x:c r="F9" s="16" t="str">
        <x:v>Schéma, contraintes, migrations, fonctions, authentification, stockage, tâches, files, webhooks et données de référence ont été restaurés sur une copie puis réconciliés avec une durée et un point restaurable mesurés.</x:v>
      </x:c>
      <x:c r="G9" s="16" t="str">
        <x:v>journal daté de restauration isolée | comptages, totaux, relations et échantillons réconciliés | RPO et RTO cibles comparés aux mesures</x:v>
      </x:c>
      <x:c r="H9" s="19" t="str">
        <x:v>verified</x:v>
      </x:c>
      <x:c r="I9" s="19" t="str">
        <x:v>Responsable fictif</x:v>
      </x:c>
      <x:c r="J9" s="19" t="str">
        <x:v>2026-07-28</x:v>
      </x:c>
      <x:c r="K9" s="19" t="str">
        <x:v>PREUVE-FICTIVE-DATA-RESTORE-CONTINUITY</x:v>
      </x:c>
      <x:c r="L9" s="19" t="str"/>
      <x:c r="M9" s="19" t="str"/>
      <x:c r="N9" s="22" t="str">
        <x:f>IF(H9="failed","STOP",IF(H9="NA",IF(AND(E9="Oui",LEN(L9)&gt;=8,LEN(M9)&gt;=3),"RESOLU","STOP"),IF(H9="verified",IF(AND(LEN(I9)&gt;=3,LEN(J9)=10,J9&lt;='LIRE_D_ABORD'!$C$15,J9&lt;='LIRE_D_ABORD'!$K$10,LEN(K9)&gt;=6),"RESOLU","INVALIDE"),IF(OR(H9="unknown",H9="declared"),"INCONNU","INVALIDE"))))</x:f>
        <x:v>RESOLU</x:v>
      </x:c>
      <x:c r="O9" s="22" t="n">
        <x:f>IF(AND(D9="blocking",N9="STOP"),1,0)</x:f>
        <x:v>0</x:v>
      </x:c>
      <x:c r="P9" s="22" t="n">
        <x:f>IF(AND(D9="blocking",N9&lt;&gt;"RESOLU"),1,0)</x:f>
        <x:v>0</x:v>
      </x:c>
      <x:c r="Q9" s="22" t="n">
        <x:f>IF(AND(D9="major",N9&lt;&gt;"RESOLU"),1,0)</x:f>
        <x:v>0</x:v>
      </x:c>
    </x:row>
    <x:row r="10" ht="84" customHeight="1">
      <x:c r="B10" s="16" t="str">
        <x:v>access-secrets</x:v>
      </x:c>
      <x:c r="C10" s="16" t="str">
        <x:v>Accès, tenants, identités et secrets</x:v>
      </x:c>
      <x:c r="D10" s="16" t="str">
        <x:v>blocking</x:v>
      </x:c>
      <x:c r="E10" s="16" t="str">
        <x:v>Non</x:v>
      </x:c>
      <x:c r="F10" s="16" t="str">
        <x:v>Une matrice rôles × ressources × actions × états × tenant vérifie les accès horizontaux, verticaux, API, fichiers, exports, administration, désactivation et sessions ; les secrets sont inventoriés par référence puis rotés sans être copiés dans le dossier.</x:v>
      </x:c>
      <x:c r="G10" s="16" t="str">
        <x:v>tests autorisés avec plusieurs comptes et tenants | matrice attendu-observé avec référence ASVS versionnée | preuve de rotation ou révocation des clés exposées</x:v>
      </x:c>
      <x:c r="H10" s="19" t="str">
        <x:v>verified</x:v>
      </x:c>
      <x:c r="I10" s="19" t="str">
        <x:v>Responsable fictif</x:v>
      </x:c>
      <x:c r="J10" s="19" t="str">
        <x:v>2026-07-28</x:v>
      </x:c>
      <x:c r="K10" s="19" t="str">
        <x:v>PREUVE-FICTIVE-ACCESS-SECRETS</x:v>
      </x:c>
      <x:c r="L10" s="19" t="str"/>
      <x:c r="M10" s="19" t="str"/>
      <x:c r="N10" s="22" t="str">
        <x:f>IF(H10="failed","STOP",IF(H10="NA",IF(AND(E10="Oui",LEN(L10)&gt;=8,LEN(M10)&gt;=3),"RESOLU","STOP"),IF(H10="verified",IF(AND(LEN(I10)&gt;=3,LEN(J10)=10,J10&lt;='LIRE_D_ABORD'!$C$15,J10&lt;='LIRE_D_ABORD'!$K$10,LEN(K10)&gt;=6),"RESOLU","INVALIDE"),IF(OR(H10="unknown",H10="declared"),"INCONNU","INVALIDE"))))</x:f>
        <x:v>RESOLU</x:v>
      </x:c>
      <x:c r="O10" s="22" t="n">
        <x:f>IF(AND(D10="blocking",N10="STOP"),1,0)</x:f>
        <x:v>0</x:v>
      </x:c>
      <x:c r="P10" s="22" t="n">
        <x:f>IF(AND(D10="blocking",N10&lt;&gt;"RESOLU"),1,0)</x:f>
        <x:v>0</x:v>
      </x:c>
      <x:c r="Q10" s="22" t="n">
        <x:f>IF(AND(D10="major",N10&lt;&gt;"RESOLU"),1,0)</x:f>
        <x:v>0</x:v>
      </x:c>
    </x:row>
    <x:row r="11" ht="84" customHeight="1">
      <x:c r="B11" s="16" t="str">
        <x:v>business-journeys</x:v>
      </x:c>
      <x:c r="C11" s="16" t="str">
        <x:v>Parcours métier et effets différés</x:v>
      </x:c>
      <x:c r="D11" s="16" t="str">
        <x:v>blocking</x:v>
      </x:c>
      <x:c r="E11" s="16" t="str">
        <x:v>Non</x:v>
      </x:c>
      <x:c r="F11" s="16" t="str">
        <x:v>Les parcours qui créent une dette, un paiement, un droit ou un engagement sont rejoués avec doublon, retry, échec partiel, reprise, journal et réconciliation.</x:v>
      </x:c>
      <x:c r="G11" s="16" t="str">
        <x:v>scénarios de recette de bout en bout | tests d’idempotence et d’échec partiel | rapprochement des effets asynchrones et tiers</x:v>
      </x:c>
      <x:c r="H11" s="19" t="str">
        <x:v>verified</x:v>
      </x:c>
      <x:c r="I11" s="19" t="str">
        <x:v>Responsable fictif</x:v>
      </x:c>
      <x:c r="J11" s="19" t="str">
        <x:v>2026-07-28</x:v>
      </x:c>
      <x:c r="K11" s="19" t="str">
        <x:v>PREUVE-FICTIVE-BUSINESS-JOURNEYS</x:v>
      </x:c>
      <x:c r="L11" s="19" t="str"/>
      <x:c r="M11" s="19" t="str"/>
      <x:c r="N11" s="22" t="str">
        <x:f>IF(H11="failed","STOP",IF(H11="NA",IF(AND(E11="Oui",LEN(L11)&gt;=8,LEN(M11)&gt;=3),"RESOLU","STOP"),IF(H11="verified",IF(AND(LEN(I11)&gt;=3,LEN(J11)=10,J11&lt;='LIRE_D_ABORD'!$C$15,J11&lt;='LIRE_D_ABORD'!$K$10,LEN(K11)&gt;=6),"RESOLU","INVALIDE"),IF(OR(H11="unknown",H11="declared"),"INCONNU","INVALIDE"))))</x:f>
        <x:v>RESOLU</x:v>
      </x:c>
      <x:c r="O11" s="22" t="n">
        <x:f>IF(AND(D11="blocking",N11="STOP"),1,0)</x:f>
        <x:v>0</x:v>
      </x:c>
      <x:c r="P11" s="22" t="n">
        <x:f>IF(AND(D11="blocking",N11&lt;&gt;"RESOLU"),1,0)</x:f>
        <x:v>0</x:v>
      </x:c>
      <x:c r="Q11" s="22" t="n">
        <x:f>IF(AND(D11="major",N11&lt;&gt;"RESOLU"),1,0)</x:f>
        <x:v>0</x:v>
      </x:c>
    </x:row>
    <x:row r="12" ht="84" customHeight="1">
      <x:c r="B12" s="16" t="str">
        <x:v>production-observability</x:v>
      </x:c>
      <x:c r="C12" s="16" t="str">
        <x:v>Production, capacité et observabilité</x:v>
      </x:c>
      <x:c r="D12" s="16" t="str">
        <x:v>major</x:v>
      </x:c>
      <x:c r="E12" s="16" t="str">
        <x:v>Oui</x:v>
      </x:c>
      <x:c r="F12" s="16" t="str">
        <x:v>Disponibilité, performance, quotas, capacité, journaux, métriques, traces, alertes, rétention, escalade, correctifs et exercice d’incident sont définis et testés proportionnellement à l’usage réel.</x:v>
      </x:c>
      <x:c r="G12" s="16" t="str">
        <x:v>alerte de test reçue par un responsable identifié | mesures de charge et limites documentées | runbook utilisé lors d’un exercice daté</x:v>
      </x:c>
      <x:c r="H12" s="19" t="str">
        <x:v>verified</x:v>
      </x:c>
      <x:c r="I12" s="19" t="str">
        <x:v>Responsable fictif</x:v>
      </x:c>
      <x:c r="J12" s="19" t="str">
        <x:v>2026-07-28</x:v>
      </x:c>
      <x:c r="K12" s="19" t="str">
        <x:v>PREUVE-FICTIVE-PRODUCTION-OBSERVABILITY</x:v>
      </x:c>
      <x:c r="L12" s="19" t="str"/>
      <x:c r="M12" s="19" t="str"/>
      <x:c r="N12" s="22" t="str">
        <x:f>IF(H12="failed","STOP",IF(H12="NA",IF(AND(E12="Oui",LEN(L12)&gt;=8,LEN(M12)&gt;=3),"RESOLU","STOP"),IF(H12="verified",IF(AND(LEN(I12)&gt;=3,LEN(J12)=10,J12&lt;='LIRE_D_ABORD'!$C$15,J12&lt;='LIRE_D_ABORD'!$K$10,LEN(K12)&gt;=6),"RESOLU","INVALIDE"),IF(OR(H12="unknown",H12="declared"),"INCONNU","INVALIDE"))))</x:f>
        <x:v>RESOLU</x:v>
      </x:c>
      <x:c r="O12" s="22" t="n">
        <x:f>IF(AND(D12="blocking",N12="STOP"),1,0)</x:f>
        <x:v>0</x:v>
      </x:c>
      <x:c r="P12" s="22" t="n">
        <x:f>IF(AND(D12="blocking",N12&lt;&gt;"RESOLU"),1,0)</x:f>
        <x:v>0</x:v>
      </x:c>
      <x:c r="Q12" s="22" t="n">
        <x:f>IF(AND(D12="major",N12&lt;&gt;"RESOLU"),1,0)</x:f>
        <x:v>0</x:v>
      </x:c>
    </x:row>
    <x:row r="13" ht="84" customHeight="1">
      <x:c r="B13" s="16" t="str">
        <x:v>legal-data-contracts</x:v>
      </x:c>
      <x:c r="C13" s="16" t="str">
        <x:v>Contrats, licences et données personnelles</x:v>
      </x:c>
      <x:c r="D13" s="16" t="str">
        <x:v>blocking</x:v>
      </x:c>
      <x:c r="E13" s="16" t="str">
        <x:v>Non</x:v>
      </x:c>
      <x:c r="F13" s="16" t="str">
        <x:v>Mandat, propriété opérationnelle, droits de réutilisation, DPA, sous-traitants, transferts, finalités, conservation, suppression et procédure de violation sont qualifiés ; les incertitudes matérielles sont confiées au spécialiste compétent.</x:v>
      </x:c>
      <x:c r="G13" s="16" t="str">
        <x:v>contrats et cessions relus dans le périmètre | registre des traitements et sous-traitants | avis DPO ou juridique lorsqu’il est requis</x:v>
      </x:c>
      <x:c r="H13" s="19" t="str">
        <x:v>verified</x:v>
      </x:c>
      <x:c r="I13" s="19" t="str">
        <x:v>Responsable fictif</x:v>
      </x:c>
      <x:c r="J13" s="19" t="str">
        <x:v>2026-07-28</x:v>
      </x:c>
      <x:c r="K13" s="19" t="str">
        <x:v>PREUVE-FICTIVE-LEGAL-DATA-CONTRACTS</x:v>
      </x:c>
      <x:c r="L13" s="19" t="str"/>
      <x:c r="M13" s="19" t="str"/>
      <x:c r="N13" s="22" t="str">
        <x:f>IF(H13="failed","STOP",IF(H13="NA",IF(AND(E13="Oui",LEN(L13)&gt;=8,LEN(M13)&gt;=3),"RESOLU","STOP"),IF(H13="verified",IF(AND(LEN(I13)&gt;=3,LEN(J13)=10,J13&lt;='LIRE_D_ABORD'!$C$15,J13&lt;='LIRE_D_ABORD'!$K$10,LEN(K13)&gt;=6),"RESOLU","INVALIDE"),IF(OR(H13="unknown",H13="declared"),"INCONNU","INVALIDE"))))</x:f>
        <x:v>RESOLU</x:v>
      </x:c>
      <x:c r="O13" s="22" t="n">
        <x:f>IF(AND(D13="blocking",N13="STOP"),1,0)</x:f>
        <x:v>0</x:v>
      </x:c>
      <x:c r="P13" s="22" t="n">
        <x:f>IF(AND(D13="blocking",N13&lt;&gt;"RESOLU"),1,0)</x:f>
        <x:v>0</x:v>
      </x:c>
      <x:c r="Q13" s="22" t="n">
        <x:f>IF(AND(D13="major",N13&lt;&gt;"RESOLU"),1,0)</x:f>
        <x:v>0</x:v>
      </x:c>
    </x:row>
    <x:row r="14" ht="84" customHeight="1">
      <x:c r="B14" s="17" t="str">
        <x:v>migration-exit</x:v>
      </x:c>
      <x:c r="C14" s="17" t="str">
        <x:v>Migration, rollback, sortie et arrêt</x:v>
      </x:c>
      <x:c r="D14" s="17" t="str">
        <x:v>major</x:v>
      </x:c>
      <x:c r="E14" s="17" t="str">
        <x:v>Oui</x:v>
      </x:c>
      <x:c r="F14" s="17" t="str">
        <x:v>Autorité d’écriture, synchronisation, gel, delta, bascule, critères de retour arrière, réconciliation, communication, hypercare, export, archivage et révocation sont décrits et répétables.</x:v>
      </x:c>
      <x:c r="G14" s="17" t="str">
        <x:v>runbook de migration et de rollback | répétition sur copie avec réconciliation | plan d’arrêt, d’archivage et de révocation</x:v>
      </x:c>
      <x:c r="H14" s="20" t="str">
        <x:v>verified</x:v>
      </x:c>
      <x:c r="I14" s="20" t="str">
        <x:v>Responsable fictif</x:v>
      </x:c>
      <x:c r="J14" s="20" t="str">
        <x:v>2026-07-28</x:v>
      </x:c>
      <x:c r="K14" s="20" t="str">
        <x:v>PREUVE-FICTIVE-MIGRATION-EXIT</x:v>
      </x:c>
      <x:c r="L14" s="20" t="str"/>
      <x:c r="M14" s="20" t="str"/>
      <x:c r="N14" s="23" t="str">
        <x:f>IF(H14="failed","STOP",IF(H14="NA",IF(AND(E14="Oui",LEN(L14)&gt;=8,LEN(M14)&gt;=3),"RESOLU","STOP"),IF(H14="verified",IF(AND(LEN(I14)&gt;=3,LEN(J14)=10,J14&lt;='LIRE_D_ABORD'!$C$15,J14&lt;='LIRE_D_ABORD'!$K$10,LEN(K14)&gt;=6),"RESOLU","INVALIDE"),IF(OR(H14="unknown",H14="declared"),"INCONNU","INVALIDE"))))</x:f>
        <x:v>RESOLU</x:v>
      </x:c>
      <x:c r="O14" s="23" t="n">
        <x:f>IF(AND(D14="blocking",N14="STOP"),1,0)</x:f>
        <x:v>0</x:v>
      </x:c>
      <x:c r="P14" s="23" t="n">
        <x:f>IF(AND(D14="blocking",N14&lt;&gt;"RESOLU"),1,0)</x:f>
        <x:v>0</x:v>
      </x:c>
      <x:c r="Q14" s="23" t="n">
        <x:f>IF(AND(D14="major",N14&lt;&gt;"RESOLU"),1,0)</x:f>
        <x:v>0</x:v>
      </x:c>
    </x:row>
  </x:sheetData>
  <x:mergeCells>
    <x:mergeCell ref="A1:Q2"/>
    <x:mergeCell ref="A3:Q3"/>
  </x:mergeCells>
  <x:conditionalFormatting sqref="N6:N14">
    <x:cfRule type="containsText" dxfId="6" priority="1" operator="containsText" text="STOP"/>
    <x:cfRule type="containsText" dxfId="7" priority="2" operator="containsText" text="INCONNU"/>
    <x:cfRule type="containsText" dxfId="8" priority="3" operator="containsText" text="INVALIDE"/>
    <x:cfRule type="containsText" dxfId="9" priority="4" operator="containsText" text="PASS"/>
    <x:cfRule type="containsText" dxfId="10" priority="5" operator="containsText" text="RESOLU"/>
    <x:cfRule type="containsText" dxfId="11" priority="6" operator="containsText" text="VALIDE"/>
  </x:conditionalFormatting>
  <x:dataValidations count="1">
    <x:dataValidation type="list" sqref="H6:H14">
      <x:formula1>"unknown,declared,verified,failed,NA"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61135029b347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  <x:selection pane="bottomRigh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SOURCE BUILD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Preuve commit → build → artefact → déploiement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Plateforme</x:v>
      </x:c>
      <x:c r="D5" s="11" t="str">
        <x:v>Capacité</x:v>
      </x:c>
      <x:c r="E5" s="11" t="str">
        <x:v>Ce qui ne suit pas</x:v>
      </x:c>
      <x:c r="F5" s="11" t="str">
        <x:v>Preuve à exécuter</x:v>
      </x:c>
      <x:c r="G5" s="11" t="str">
        <x:v>Frontière</x:v>
      </x:c>
      <x:c r="H5" s="11" t="str">
        <x:v>Source</x:v>
      </x:c>
      <x:c r="I5" s="11" t="str">
        <x:v>Revue</x:v>
      </x:c>
      <x:c r="J5" s="11" t="str">
        <x:v>Statut</x:v>
      </x:c>
      <x:c r="K5" s="11" t="str">
        <x:v>Propriétaire</x:v>
      </x:c>
      <x:c r="L5" s="11" t="str">
        <x:v>Date</x:v>
      </x:c>
      <x:c r="M5" s="11" t="str">
        <x:v>Réf exécution</x:v>
      </x:c>
      <x:c r="N5" s="11" t="str">
        <x:v>Résultat</x:v>
      </x:c>
    </x:row>
    <x:row r="6" ht="92" customHeight="1">
      <x:c r="B6" s="16" t="str">
        <x:v>LOV-GIT-SYNC</x:v>
      </x:c>
      <x:c r="C6" s="16" t="str">
        <x:v>Lovable</x:v>
      </x:c>
      <x:c r="D6" s="16" t="str">
        <x:v>Exporter le code vers un nouveau dépôt GitHub et synchroniser dans les deux sens la branche active.</x:v>
      </x:c>
      <x:c r="E6" s="16" t="str">
        <x:v>Les données, objets de stockage, secrets, fournisseurs d’identité, domaines et procédures d’exploitation.</x:v>
      </x:c>
      <x:c r="F6" s="16" t="str">
        <x:v>Cloner le dépôt dans un environnement isolé, comparer le commit Lovable/GitHub, puis pousser un changement réversible sur la branche réellement synchronisée.</x:v>
      </x:c>
      <x:c r="G6" s="16" t="str">
        <x:v>Lovable continue de stocker et gérer le code dans sa plateforme ; GitHub est une copie synchronisée, pas la preuve que toute l’application a été transférée.</x:v>
      </x:c>
      <x:c r="H6" s="16" t="str">
        <x:v>LOV-GIT</x:v>
      </x:c>
      <x:c r="I6" s="16" t="str">
        <x:v>2026-07-28</x:v>
      </x:c>
      <x:c r="J6" s="25" t="str">
        <x:v>unknown</x:v>
      </x:c>
      <x:c r="K6" s="19" t="str"/>
      <x:c r="L6" s="19" t="str"/>
      <x:c r="M6" s="19" t="str"/>
      <x:c r="N6" s="22" t="str">
        <x:f>IF(J6="failed","STOP",IF(J6="verified",IF(AND(LEN(K6)&gt;=3,LEN(L6)=10,L6&lt;='LIRE_D_ABORD'!$C$15,L6&lt;='LIRE_D_ABORD'!$K$10,LEN(M6)&gt;=6),"RESOLU","INVALIDE"),IF(OR(J6="unknown",J6="declared"),"INCONNU","INVALIDE")))</x:f>
        <x:v>INCONNU</x:v>
      </x:c>
    </x:row>
    <x:row r="7" ht="92" customHeight="1">
      <x:c r="B7" s="16" t="str">
        <x:v>LOV-DIRECT-DOWNLOAD</x:v>
      </x:c>
      <x:c r="C7" s="16" t="str">
        <x:v>Lovable</x:v>
      </x:c>
      <x:c r="D7" s="16" t="str">
        <x:v>Télécharger directement la codebase depuis l’éditeur de code sur une offre payante.</x:v>
      </x:c>
      <x:c r="E7" s="16" t="str">
        <x:v>L’historique Git complet, les services managés, la base, les fichiers, les secrets et la configuration du domaine.</x:v>
      </x:c>
      <x:c r="F7" s="16" t="str">
        <x:v>Télécharger l’archive depuis le compte réel, calculer son hash, l’extraire dans un dossier temporaire et vérifier qu’elle contient les manifests et le lockfile attendus.</x:v>
      </x:c>
      <x:c r="G7" s="16" t="str">
        <x:v>La disponibilité dépend du plan et un ZIP constitue une photographie de fichiers, pas une reprise opérationnelle.</x:v>
      </x:c>
      <x:c r="H7" s="16" t="str">
        <x:v>LOV-GIT</x:v>
      </x:c>
      <x:c r="I7" s="16" t="str">
        <x:v>2026-07-28</x:v>
      </x:c>
      <x:c r="J7" s="25" t="str">
        <x:v>unknown</x:v>
      </x:c>
      <x:c r="K7" s="19" t="str"/>
      <x:c r="L7" s="19" t="str"/>
      <x:c r="M7" s="19" t="str"/>
      <x:c r="N7" s="22" t="str">
        <x:f>IF(J7="failed","STOP",IF(J7="verified",IF(AND(LEN(K7)&gt;=3,LEN(L7)=10,L7&lt;='LIRE_D_ABORD'!$C$15,L7&lt;='LIRE_D_ABORD'!$K$10,LEN(M7)&gt;=6),"RESOLU","INVALIDE"),IF(OR(J7="unknown",J7="declared"),"INCONNU","INVALIDE")))</x:f>
        <x:v>INCONNU</x:v>
      </x:c>
    </x:row>
    <x:row r="8" ht="92" customHeight="1">
      <x:c r="B8" s="16" t="str">
        <x:v>LOV-EXTERNAL-HOSTING</x:v>
      </x:c>
      <x:c r="C8" s="16" t="str">
        <x:v>Lovable</x:v>
      </x:c>
      <x:c r="D8" s="16" t="str">
        <x:v>Déployer l’application en dehors de l’hébergement Lovable.</x:v>
      </x:c>
      <x:c r="E8" s="16" t="str">
        <x:v>Le pipeline, les variables, le CDN, la disponibilité, les logs, l’historique de déploiement, les previews et le support d’exploitation.</x:v>
      </x:c>
      <x:c r="F8" s="16" t="str">
        <x:v>Produire un déploiement indépendant depuis un clone propre, documenter chaque variable et vérifier URL, logs, rollback et domaine.</x:v>
      </x:c>
      <x:c r="G8" s="16" t="str">
        <x:v>La portabilité du code transfère à l’équipe des responsabilités d’infrastructure et d’exploitation auparavant prises en charge par Lovable.</x:v>
      </x:c>
      <x:c r="H8" s="16" t="str">
        <x:v>LOV-DEPLOY</x:v>
      </x:c>
      <x:c r="I8" s="16" t="str">
        <x:v>2026-07-28</x:v>
      </x:c>
      <x:c r="J8" s="25" t="str">
        <x:v>unknown</x:v>
      </x:c>
      <x:c r="K8" s="19" t="str"/>
      <x:c r="L8" s="19" t="str"/>
      <x:c r="M8" s="19" t="str"/>
      <x:c r="N8" s="22" t="str">
        <x:f>IF(J8="failed","STOP",IF(J8="verified",IF(AND(LEN(K8)&gt;=3,LEN(L8)=10,L8&lt;='LIRE_D_ABORD'!$C$15,L8&lt;='LIRE_D_ABORD'!$K$10,LEN(M8)&gt;=6),"RESOLU","INVALIDE"),IF(OR(J8="unknown",J8="declared"),"INCONNU","INVALIDE")))</x:f>
        <x:v>INCONNU</x:v>
      </x:c>
    </x:row>
    <x:row r="9" ht="92" customHeight="1">
      <x:c r="B9" s="16" t="str">
        <x:v>LOV-BACKEND-MIGRATION</x:v>
      </x:c>
      <x:c r="C9" s="16" t="str">
        <x:v>Lovable Cloud</x:v>
      </x:c>
      <x:c r="D9" s="16" t="str">
        <x:v>Rejouer par migrations SQL une partie du schéma, notamment tables, index, politiques RLS, fonctions et triggers.</x:v>
      </x:c>
      <x:c r="E9" s="16" t="str">
        <x:v>La configuration des fournisseurs d’authentification, les secrets, les données, les fichiers de stockage et les mots de passe utilisateurs.</x:v>
      </x:c>
      <x:c r="F9" s="16" t="str">
        <x:v>Restaurer dans une cible vide le schéma, les données et les objets de stockage par procédures séparées, puis exécuter une réinitialisation de mot de passe sur un compte test.</x:v>
      </x:c>
      <x:c r="G9" s="16" t="str">
        <x:v>Cette capacité concerne une sortie de Lovable Cloud documentée ; elle ne garantit pas l’équivalence d’un backend tiers ni une migration invisible des comptes.</x:v>
      </x:c>
      <x:c r="H9" s="16" t="str">
        <x:v>LOV-DEPLOY</x:v>
      </x:c>
      <x:c r="I9" s="16" t="str">
        <x:v>2026-07-28</x:v>
      </x:c>
      <x:c r="J9" s="25" t="str">
        <x:v>unknown</x:v>
      </x:c>
      <x:c r="K9" s="19" t="str"/>
      <x:c r="L9" s="19" t="str"/>
      <x:c r="M9" s="19" t="str"/>
      <x:c r="N9" s="22" t="str">
        <x:f>IF(J9="failed","STOP",IF(J9="verified",IF(AND(LEN(K9)&gt;=3,LEN(L9)=10,L9&lt;='LIRE_D_ABORD'!$C$15,L9&lt;='LIRE_D_ABORD'!$K$10,LEN(M9)&gt;=6),"RESOLU","INVALIDE"),IF(OR(J9="unknown",J9="declared"),"INCONNU","INVALIDE")))</x:f>
        <x:v>INCONNU</x:v>
      </x:c>
    </x:row>
    <x:row r="10" ht="92" customHeight="1">
      <x:c r="B10" s="16" t="str">
        <x:v>LOV-REMIX-BOUNDARY</x:v>
      </x:c>
      <x:c r="C10" s="16" t="str">
        <x:v>Lovable</x:v>
      </x:c>
      <x:c r="D10" s="16" t="str">
        <x:v>Créer un remix d’un projet ou revenir à une version de projet.</x:v>
      </x:c>
      <x:c r="E10" s="16" t="str">
        <x:v>Les secrets, les données de base, l’intégralité de l’historique et un retour coordonné de la base au même instant.</x:v>
      </x:c>
      <x:c r="F10" s="16" t="str">
        <x:v>Comparer code, secrets, tables, volumes, fichiers et historique entre l’original et la copie ; modifier une donnée test puis vérifier qu’un rollback de projet ne la rembobine pas.</x:v>
      </x:c>
      <x:c r="G10" s="16" t="str">
        <x:v>Remix et rollback portent d’abord sur le projet ; ils ne constituent pas une sauvegarde cohérente de tous les actifs.</x:v>
      </x:c>
      <x:c r="H10" s="16" t="str">
        <x:v>LOV-FAQ</x:v>
      </x:c>
      <x:c r="I10" s="16" t="str">
        <x:v>2026-07-28</x:v>
      </x:c>
      <x:c r="J10" s="25" t="str">
        <x:v>unknown</x:v>
      </x:c>
      <x:c r="K10" s="19" t="str"/>
      <x:c r="L10" s="19" t="str"/>
      <x:c r="M10" s="19" t="str"/>
      <x:c r="N10" s="22" t="str">
        <x:f>IF(J10="failed","STOP",IF(J10="verified",IF(AND(LEN(K10)&gt;=3,LEN(L10)=10,L10&lt;='LIRE_D_ABORD'!$C$15,L10&lt;='LIRE_D_ABORD'!$K$10,LEN(M10)&gt;=6),"RESOLU","INVALIDE"),IF(OR(J10="unknown",J10="declared"),"INCONNU","INVALIDE")))</x:f>
        <x:v>INCONNU</x:v>
      </x:c>
    </x:row>
    <x:row r="11" ht="92" customHeight="1">
      <x:c r="B11" s="16" t="str">
        <x:v>LOV-SECURITY-SCANS</x:v>
      </x:c>
      <x:c r="C11" s="16" t="str">
        <x:v>Lovable</x:v>
      </x:c>
      <x:c r="D11" s="16" t="str">
        <x:v>Exécuter des contrôles de sécurité intégrés et, selon l’offre ou l’action, un Deep Scan.</x:v>
      </x:c>
      <x:c r="E11" s="16" t="str">
        <x:v>Une certification, une garantie d’absence de vulnérabilité, des tests d’autorisation métier complets ou le blocage certain d’une publication risquée.</x:v>
      </x:c>
      <x:c r="F11" s="16" t="str">
        <x:v>Conserver le rapport, vérifier les constats critiques, tester les accès avec plusieurs rôles et faire relire les écarts indépendamment.</x:v>
      </x:c>
      <x:c r="G11" s="16" t="str">
        <x:v>Un scanner automatisé aide au diagnostic mais ne remplace ni une analyse de risque ni des tests adaptés au contexte.</x:v>
      </x:c>
      <x:c r="H11" s="16" t="str">
        <x:v>LOV-SECURITY</x:v>
      </x:c>
      <x:c r="I11" s="16" t="str">
        <x:v>2026-07-28</x:v>
      </x:c>
      <x:c r="J11" s="25" t="str">
        <x:v>unknown</x:v>
      </x:c>
      <x:c r="K11" s="19" t="str"/>
      <x:c r="L11" s="19" t="str"/>
      <x:c r="M11" s="19" t="str"/>
      <x:c r="N11" s="22" t="str">
        <x:f>IF(J11="failed","STOP",IF(J11="verified",IF(AND(LEN(K11)&gt;=3,LEN(L11)=10,L11&lt;='LIRE_D_ABORD'!$C$15,L11&lt;='LIRE_D_ABORD'!$K$10,LEN(M11)&gt;=6),"RESOLU","INVALIDE"),IF(OR(J11="unknown",J11="declared"),"INCONNU","INVALIDE")))</x:f>
        <x:v>INCONNU</x:v>
      </x:c>
    </x:row>
    <x:row r="12" ht="92" customHeight="1">
      <x:c r="B12" s="16" t="str">
        <x:v>LOV-STACK-BY-DATE</x:v>
      </x:c>
      <x:c r="C12" s="16" t="str">
        <x:v>Lovable</x:v>
      </x:c>
      <x:c r="D12" s="16" t="str">
        <x:v>Générer les nouveaux projets annoncés depuis le 13 mai 2026 avec TanStack Start SSR, sous les exceptions décrites par l’éditeur.</x:v>
      </x:c>
      <x:c r="E12" s="16" t="str">
        <x:v>La conversion automatique des projets historiques React/Vite ou la garantie qu’un projet concret utilise cette stack.</x:v>
      </x:c>
      <x:c r="F12" s="16" t="str">
        <x:v>Lire package.json, le lockfile, la configuration du framework et les commandes réelles du dépôt au lieu d’inférer la stack depuis la marque.</x:v>
      </x:c>
      <x:c r="G12" s="16" t="str">
        <x:v>La date de création, les migrations et l’état concret du dépôt déterminent la technologie à reprendre.</x:v>
      </x:c>
      <x:c r="H12" s="16" t="str">
        <x:v>LOV-FAQ</x:v>
      </x:c>
      <x:c r="I12" s="16" t="str">
        <x:v>2026-07-28</x:v>
      </x:c>
      <x:c r="J12" s="25" t="str">
        <x:v>unknown</x:v>
      </x:c>
      <x:c r="K12" s="19" t="str"/>
      <x:c r="L12" s="19" t="str"/>
      <x:c r="M12" s="19" t="str"/>
      <x:c r="N12" s="22" t="str">
        <x:f>IF(J12="failed","STOP",IF(J12="verified",IF(AND(LEN(K12)&gt;=3,LEN(L12)=10,L12&lt;='LIRE_D_ABORD'!$C$15,L12&lt;='LIRE_D_ABORD'!$K$10,LEN(M12)&gt;=6),"RESOLU","INVALIDE"),IF(OR(J12="unknown",J12="declared"),"INCONNU","INVALIDE")))</x:f>
        <x:v>INCONNU</x:v>
      </x:c>
    </x:row>
    <x:row r="13" ht="92" customHeight="1">
      <x:c r="B13" s="16" t="str">
        <x:v>LOV-PROJECT-TRANSFER</x:v>
      </x:c>
      <x:c r="C13" s="16" t="str">
        <x:v>Lovable</x:v>
      </x:c>
      <x:c r="D13" s="16" t="str">
        <x:v>Transférer la propriété d’un projet à un membre du workspace ou déplacer le projet vers un autre workspace selon les droits disponibles.</x:v>
      </x:c>
      <x:c r="E13" s="16" t="str">
        <x:v>Les comptes et actifs détenus chez GitHub, Supabase, un registrar, un fournisseur d’identité ou tout autre service tiers.</x:v>
      </x:c>
      <x:c r="F13" s="16" t="str">
        <x:v>Vérifier le rôle du destinataire, exécuter le transfert sur le projet réel ou un témoin, puis contrôler séparément propriété, facturation et droits dans chaque compte tiers.</x:v>
      </x:c>
      <x:c r="G13" s="16" t="str">
        <x:v>Le transfert natif change la propriété ou le workspace du projet Lovable ; il ne transfère pas automatiquement les comptes externes ni leurs contrats.</x:v>
      </x:c>
      <x:c r="H13" s="16" t="str">
        <x:v>LOV-PROJECT-TRANSFER</x:v>
      </x:c>
      <x:c r="I13" s="16" t="str">
        <x:v>2026-07-28</x:v>
      </x:c>
      <x:c r="J13" s="25" t="str">
        <x:v>unknown</x:v>
      </x:c>
      <x:c r="K13" s="19" t="str"/>
      <x:c r="L13" s="19" t="str"/>
      <x:c r="M13" s="19" t="str"/>
      <x:c r="N13" s="22" t="str">
        <x:f>IF(J13="failed","STOP",IF(J13="verified",IF(AND(LEN(K13)&gt;=3,LEN(L13)=10,L13&lt;='LIRE_D_ABORD'!$C$15,L13&lt;='LIRE_D_ABORD'!$K$10,LEN(M13)&gt;=6),"RESOLU","INVALIDE"),IF(OR(J13="unknown",J13="declared"),"INCONNU","INVALIDE")))</x:f>
        <x:v>INCONNU</x:v>
      </x:c>
    </x:row>
    <x:row r="14" ht="92" customHeight="1">
      <x:c r="B14" s="16" t="str">
        <x:v>BOLT-ZIP-EXPORT</x:v>
      </x:c>
      <x:c r="C14" s="16" t="str">
        <x:v>Bolt</x:v>
      </x:c>
      <x:c r="D14" s="16" t="str">
        <x:v>Exporter et télécharger un dossier ZIP des fichiers du projet.</x:v>
      </x:c>
      <x:c r="E14" s="16" t="str">
        <x:v>Les données, domaines, intégrations, secrets, comptes, historique complet et preuve de reconstruction.</x:v>
      </x:c>
      <x:c r="F14" s="16" t="str">
        <x:v>Télécharger, hasher, extraire dans un environnement isolé, installer avec les versions figées, construire et lancer les parcours critiques.</x:v>
      </x:c>
      <x:c r="G14" s="16" t="str">
        <x:v>Le ZIP est une sauvegarde de fichiers ; sa présence ne prouve pas l’autonomie du produit.</x:v>
      </x:c>
      <x:c r="H14" s="16" t="str">
        <x:v>BOLT-ROLLBACK</x:v>
      </x:c>
      <x:c r="I14" s="16" t="str">
        <x:v>2026-07-28</x:v>
      </x:c>
      <x:c r="J14" s="25" t="str">
        <x:v>unknown</x:v>
      </x:c>
      <x:c r="K14" s="19" t="str"/>
      <x:c r="L14" s="19" t="str"/>
      <x:c r="M14" s="19" t="str"/>
      <x:c r="N14" s="22" t="str">
        <x:f>IF(J14="failed","STOP",IF(J14="verified",IF(AND(LEN(K14)&gt;=3,LEN(L14)=10,L14&lt;='LIRE_D_ABORD'!$C$15,L14&lt;='LIRE_D_ABORD'!$K$10,LEN(M14)&gt;=6),"RESOLU","INVALIDE"),IF(OR(J14="unknown",J14="declared"),"INCONNU","INVALIDE")))</x:f>
        <x:v>INCONNU</x:v>
      </x:c>
    </x:row>
    <x:row r="15" ht="92" customHeight="1">
      <x:c r="B15" s="16" t="str">
        <x:v>BOLT-PROJECT-TRANSFER</x:v>
      </x:c>
      <x:c r="C15" s="16" t="str">
        <x:v>Bolt</x:v>
      </x:c>
      <x:c r="D15" s="16" t="str">
        <x:v>Transférer un projet soit vers un autre workspace que le propriétaire contrôle, avec les connexions Bolt Database, GitHub et Supabase conservées, soit vers un autre utilisateur avec des effets différents.</x:v>
      </x:c>
      <x:c r="E15" s="16" t="str">
        <x:v>Vers un autre utilisateur, GitHub est retiré à l’acceptation, le domaine personnalisé est retiré et la propriété du compte ou projet Supabase doit être transférée séparément.</x:v>
      </x:c>
      <x:c r="F15" s="16" t="str">
        <x:v>Choisir explicitement transfert de workspace ou transfert d’utilisateur, relever avant et après les propriétaires Bolt, GitHub, Supabase et domaine, puis tester permissions, déploiement et parcours sur le compte cible.</x:v>
      </x:c>
      <x:c r="G15" s="16" t="str">
        <x:v>Vers un autre utilisateur, les réglages Supabase peuvent suivre sans transférer la propriété externe ; un domaine acheté via Bolt peut ne pas être reconnectable avant son expiration. Le projet et les comptes tiers restent des actifs distincts.</x:v>
      </x:c>
      <x:c r="H15" s="16" t="str">
        <x:v>BOLT-PROJECTS</x:v>
      </x:c>
      <x:c r="I15" s="16" t="str">
        <x:v>2026-07-28</x:v>
      </x:c>
      <x:c r="J15" s="25" t="str">
        <x:v>unknown</x:v>
      </x:c>
      <x:c r="K15" s="19" t="str"/>
      <x:c r="L15" s="19" t="str"/>
      <x:c r="M15" s="19" t="str"/>
      <x:c r="N15" s="22" t="str">
        <x:f>IF(J15="failed","STOP",IF(J15="verified",IF(AND(LEN(K15)&gt;=3,LEN(L15)=10,L15&lt;='LIRE_D_ABORD'!$C$15,L15&lt;='LIRE_D_ABORD'!$K$10,LEN(M15)&gt;=6),"RESOLU","INVALIDE"),IF(OR(J15="unknown",J15="declared"),"INCONNU","INVALIDE")))</x:f>
        <x:v>INCONNU</x:v>
      </x:c>
    </x:row>
    <x:row r="16" ht="92" customHeight="1">
      <x:c r="B16" s="16" t="str">
        <x:v>BOLT-PROJECT-DUPLICATE</x:v>
      </x:c>
      <x:c r="C16" s="16" t="str">
        <x:v>Bolt</x:v>
      </x:c>
      <x:c r="D16" s="16" t="str">
        <x:v>Dupliquer le code et les réglages d’un projet, hors configurations GitHub et Netlify.</x:v>
      </x:c>
      <x:c r="E16" s="16" t="str">
        <x:v>Les données d’une Bolt Database, les réglages GitHub/Netlify et l’historique de chat, qui est toujours effacé lors d’une duplication.</x:v>
      </x:c>
      <x:c r="F16" s="16" t="str">
        <x:v>Comparer les fichiers et réglages, compter les lignes de chaque table, vérifier la base cible et rejouer les parcours après reconnexion des intégrations.</x:v>
      </x:c>
      <x:c r="G16" s="16" t="str">
        <x:v>Pour Bolt Database, la structure peut être copiée sans les données ; pour Supabase, le choix de rester sur la même base crée un risque de modifications concurrentes.</x:v>
      </x:c>
      <x:c r="H16" s="16" t="str">
        <x:v>BOLT-PROJECTS</x:v>
      </x:c>
      <x:c r="I16" s="16" t="str">
        <x:v>2026-07-28</x:v>
      </x:c>
      <x:c r="J16" s="25" t="str">
        <x:v>unknown</x:v>
      </x:c>
      <x:c r="K16" s="19" t="str"/>
      <x:c r="L16" s="19" t="str"/>
      <x:c r="M16" s="19" t="str"/>
      <x:c r="N16" s="22" t="str">
        <x:f>IF(J16="failed","STOP",IF(J16="verified",IF(AND(LEN(K16)&gt;=3,LEN(L16)=10,L16&lt;='LIRE_D_ABORD'!$C$15,L16&lt;='LIRE_D_ABORD'!$K$10,LEN(M16)&gt;=6),"RESOLU","INVALIDE"),IF(OR(J16="unknown",J16="declared"),"INCONNU","INVALIDE")))</x:f>
        <x:v>INCONNU</x:v>
      </x:c>
    </x:row>
    <x:row r="17" ht="92" customHeight="1">
      <x:c r="B17" s="16" t="str">
        <x:v>BOLT-VERSION-ROLLBACK</x:v>
      </x:c>
      <x:c r="C17" s="16" t="str">
        <x:v>Bolt</x:v>
      </x:c>
      <x:c r="D17" s="16" t="str">
        <x:v>Prévisualiser et restaurer une version antérieure du projet via l’historique.</x:v>
      </x:c>
      <x:c r="E17" s="16" t="str">
        <x:v>L’état de la base Bolt ou Supabase au même instant.</x:v>
      </x:c>
      <x:c r="F17" s="16" t="str">
        <x:v>Créer une donnée test après le point de restauration, restaurer la version du projet, puis vérifier et documenter l’état inchangé de la base.</x:v>
      </x:c>
      <x:c r="G17" s="16" t="str">
        <x:v>Le retour arrière du projet et celui des données sont deux opérations distinctes à orchestrer.</x:v>
      </x:c>
      <x:c r="H17" s="16" t="str">
        <x:v>BOLT-ROLLBACK</x:v>
      </x:c>
      <x:c r="I17" s="16" t="str">
        <x:v>2026-07-28</x:v>
      </x:c>
      <x:c r="J17" s="25" t="str">
        <x:v>unknown</x:v>
      </x:c>
      <x:c r="K17" s="19" t="str"/>
      <x:c r="L17" s="19" t="str"/>
      <x:c r="M17" s="19" t="str"/>
      <x:c r="N17" s="22" t="str">
        <x:f>IF(J17="failed","STOP",IF(J17="verified",IF(AND(LEN(K17)&gt;=3,LEN(L17)=10,L17&lt;='LIRE_D_ABORD'!$C$15,L17&lt;='LIRE_D_ABORD'!$K$10,LEN(M17)&gt;=6),"RESOLU","INVALIDE"),IF(OR(J17="unknown",J17="declared"),"INCONNU","INVALIDE")))</x:f>
        <x:v>INCONNU</x:v>
      </x:c>
    </x:row>
    <x:row r="18" ht="92" customHeight="1">
      <x:c r="B18" s="16" t="str">
        <x:v>BOLT-SUPABASE-CONNECT</x:v>
      </x:c>
      <x:c r="C18" s="16" t="str">
        <x:v>Bolt + Supabase</x:v>
      </x:c>
      <x:c r="D18" s="16" t="str">
        <x:v>Connecter un projet Supabase existant ou nouveau à un projet Bolt compatible.</x:v>
      </x:c>
      <x:c r="E18" s="16" t="str">
        <x:v>Les données déjà présentes dans une Bolt Database lorsque sa connexion est remplacée.</x:v>
      </x:c>
      <x:c r="F18" s="16" t="str">
        <x:v>Exporter et restaurer la base existante avant connexion, comparer les chaînes de connexion et vérifier les volumes et parcours après bascule.</x:v>
      </x:c>
      <x:c r="G18" s="16" t="str">
        <x:v>La documentation avertit que remplacer la connexion Bolt Database par Supabase peut entraîner une perte de données.</x:v>
      </x:c>
      <x:c r="H18" s="16" t="str">
        <x:v>BOLT-SUPABASE</x:v>
      </x:c>
      <x:c r="I18" s="16" t="str">
        <x:v>2026-07-28</x:v>
      </x:c>
      <x:c r="J18" s="25" t="str">
        <x:v>unknown</x:v>
      </x:c>
      <x:c r="K18" s="19" t="str"/>
      <x:c r="L18" s="19" t="str"/>
      <x:c r="M18" s="19" t="str"/>
      <x:c r="N18" s="22" t="str">
        <x:f>IF(J18="failed","STOP",IF(J18="verified",IF(AND(LEN(K18)&gt;=3,LEN(L18)=10,L18&lt;='LIRE_D_ABORD'!$C$15,L18&lt;='LIRE_D_ABORD'!$K$10,LEN(M18)&gt;=6),"RESOLU","INVALIDE"),IF(OR(J18="unknown",J18="declared"),"INCONNU","INVALIDE")))</x:f>
        <x:v>INCONNU</x:v>
      </x:c>
    </x:row>
    <x:row r="19" ht="92" customHeight="1">
      <x:c r="B19" s="16" t="str">
        <x:v>BOLT-SUPABASE-CLAIM</x:v>
      </x:c>
      <x:c r="C19" s="16" t="str">
        <x:v>Bolt + Supabase</x:v>
      </x:c>
      <x:c r="D19" s="16" t="str">
        <x:v>Revendiquer une Bolt Database dans Supabase pour accéder à des fonctions de gestion avancées.</x:v>
      </x:c>
      <x:c r="E19" s="16" t="str">
        <x:v>La propriété de l’organisation Supabase ou l’autorisation nécessaire pour exécuter l’opération.</x:v>
      </x:c>
      <x:c r="F19" s="16" t="str">
        <x:v>Vérifier dans Supabase l’organisation cible, le rôle Owner de la personne habilitée et la présence de la base après la revendication.</x:v>
      </x:c>
      <x:c r="G19" s="16" t="str">
        <x:v>Le rôle propriétaire est contrôlé par Supabase, pas par Bolt ; un accès au projet Bolt ne suffit pas.</x:v>
      </x:c>
      <x:c r="H19" s="16" t="str">
        <x:v>BOLT-SUPABASE</x:v>
      </x:c>
      <x:c r="I19" s="16" t="str">
        <x:v>2026-07-28</x:v>
      </x:c>
      <x:c r="J19" s="25" t="str">
        <x:v>unknown</x:v>
      </x:c>
      <x:c r="K19" s="19" t="str"/>
      <x:c r="L19" s="19" t="str"/>
      <x:c r="M19" s="19" t="str"/>
      <x:c r="N19" s="22" t="str">
        <x:f>IF(J19="failed","STOP",IF(J19="verified",IF(AND(LEN(K19)&gt;=3,LEN(L19)=10,L19&lt;='LIRE_D_ABORD'!$C$15,L19&lt;='LIRE_D_ABORD'!$K$10,LEN(M19)&gt;=6),"RESOLU","INVALIDE"),IF(OR(J19="unknown",J19="declared"),"INCONNU","INVALIDE")))</x:f>
        <x:v>INCONNU</x:v>
      </x:c>
    </x:row>
    <x:row r="20" ht="92" customHeight="1">
      <x:c r="B20" s="16" t="str">
        <x:v>V0-GITHUB-SOURCE</x:v>
      </x:c>
      <x:c r="C20" s="16" t="str">
        <x:v>v0</x:v>
      </x:c>
      <x:c r="D20" s="16" t="str">
        <x:v>Utiliser le dépôt GitHub connecté comme source de vérité, avec une branche dédiée par chat, des commits automatiques et une pull request vers main.</x:v>
      </x:c>
      <x:c r="E20" s="16" t="str">
        <x:v>Une copie de secours distincte conservée par v0, les variables, domaines, données et intégrations du projet.</x:v>
      </x:c>
      <x:c r="F20" s="16" t="str">
        <x:v>Cloner le dépôt, vérifier branche, commit, protections et sauvegarde ; tester la procédure de restauration du dépôt sans le supprimer.</x:v>
      </x:c>
      <x:c r="G20" s="16" t="str">
        <x:v>Après connexion, supprimer le dépôt GitHub peut rendre le code irrécupérable car v0 n’en conserve pas une copie séparée.</x:v>
      </x:c>
      <x:c r="H20" s="16" t="str">
        <x:v>V0-GITHUB</x:v>
      </x:c>
      <x:c r="I20" s="16" t="str">
        <x:v>2026-07-28</x:v>
      </x:c>
      <x:c r="J20" s="25" t="str">
        <x:v>unknown</x:v>
      </x:c>
      <x:c r="K20" s="19" t="str"/>
      <x:c r="L20" s="19" t="str"/>
      <x:c r="M20" s="19" t="str"/>
      <x:c r="N20" s="22" t="str">
        <x:f>IF(J20="failed","STOP",IF(J20="verified",IF(AND(LEN(K20)&gt;=3,LEN(L20)=10,L20&lt;='LIRE_D_ABORD'!$C$15,L20&lt;='LIRE_D_ABORD'!$K$10,LEN(M20)&gt;=6),"RESOLU","INVALIDE"),IF(OR(J20="unknown",J20="declared"),"INCONNU","INVALIDE")))</x:f>
        <x:v>INCONNU</x:v>
      </x:c>
    </x:row>
    <x:row r="21" ht="92" customHeight="1">
      <x:c r="B21" s="16" t="str">
        <x:v>V0-SHARED-PROJECT</x:v>
      </x:c>
      <x:c r="C21" s="16" t="str">
        <x:v>v0 + Vercel</x:v>
      </x:c>
      <x:c r="D21" s="16" t="str">
        <x:v>Regrouper plusieurs chats dans une même application partageant hébergement, déploiements, domaines et variables d’environnement.</x:v>
      </x:c>
      <x:c r="E21" s="16" t="str">
        <x:v>Une isolation automatique de la production entre les chats ou branches.</x:v>
      </x:c>
      <x:c r="F21" s="16" t="str">
        <x:v>Lister tous les chats reliés, les droits de publication, la cible Vercel et la politique de déploiement ; publier seulement dans un environnement témoin.</x:v>
      </x:c>
      <x:c r="G21" s="16" t="str">
        <x:v>Une publication depuis n’importe quel chat lié peut mettre à jour la même URL de production.</x:v>
      </x:c>
      <x:c r="H21" s="16" t="str">
        <x:v>V0-PROJECTS</x:v>
      </x:c>
      <x:c r="I21" s="16" t="str">
        <x:v>2026-07-28</x:v>
      </x:c>
      <x:c r="J21" s="25" t="str">
        <x:v>unknown</x:v>
      </x:c>
      <x:c r="K21" s="19" t="str"/>
      <x:c r="L21" s="19" t="str"/>
      <x:c r="M21" s="19" t="str"/>
      <x:c r="N21" s="22" t="str">
        <x:f>IF(J21="failed","STOP",IF(J21="verified",IF(AND(LEN(K21)&gt;=3,LEN(L21)=10,L21&lt;='LIRE_D_ABORD'!$C$15,L21&lt;='LIRE_D_ABORD'!$K$10,LEN(M21)&gt;=6),"RESOLU","INVALIDE"),IF(OR(J21="unknown",J21="declared"),"INCONNU","INVALIDE")))</x:f>
        <x:v>INCONNU</x:v>
      </x:c>
    </x:row>
    <x:row r="22" ht="92" customHeight="1">
      <x:c r="B22" s="16" t="str">
        <x:v>V0-BRANCH-NEW-PROJECT</x:v>
      </x:c>
      <x:c r="C22" s="16" t="str">
        <x:v>v0 + Vercel</x:v>
      </x:c>
      <x:c r="D22" s="16" t="str">
        <x:v>Dupliquer une branche dans le même projet ou démarrer un nouveau projet.</x:v>
      </x:c>
      <x:c r="E22" s="16" t="str">
        <x:v>Dans un nouveau projet, la configuration Vercel, les intégrations, les variables et les déploiements de l’ancien projet.</x:v>
      </x:c>
      <x:c r="F22" s="16" t="str">
        <x:v>Créer une branche témoin dans chaque mode, comparer variables, intégrations, domaines et cible de déploiement avant toute fusion.</x:v>
      </x:c>
      <x:c r="G22" s="16" t="str">
        <x:v>Continuer dans le même projet conserve le contexte partagé ; choisir un nouveau projet repart sans la configuration existante.</x:v>
      </x:c>
      <x:c r="H22" s="16" t="str">
        <x:v>V0-GITHUB</x:v>
      </x:c>
      <x:c r="I22" s="16" t="str">
        <x:v>2026-07-28</x:v>
      </x:c>
      <x:c r="J22" s="25" t="str">
        <x:v>unknown</x:v>
      </x:c>
      <x:c r="K22" s="19" t="str"/>
      <x:c r="L22" s="19" t="str"/>
      <x:c r="M22" s="19" t="str"/>
      <x:c r="N22" s="22" t="str">
        <x:f>IF(J22="failed","STOP",IF(J22="verified",IF(AND(LEN(K22)&gt;=3,LEN(L22)=10,L22&lt;='LIRE_D_ABORD'!$C$15,L22&lt;='LIRE_D_ABORD'!$K$10,LEN(M22)&gt;=6),"RESOLU","INVALIDE"),IF(OR(J22="unknown",J22="declared"),"INCONNU","INVALIDE")))</x:f>
        <x:v>INCONNU</x:v>
      </x:c>
    </x:row>
    <x:row r="23" ht="92" customHeight="1">
      <x:c r="B23" s="16" t="str">
        <x:v>V0-SCOPE-TRANSFER</x:v>
      </x:c>
      <x:c r="C23" s="16" t="str">
        <x:v>v0 + Vercel</x:v>
      </x:c>
      <x:c r="D23" s="16" t="str">
        <x:v>Transférer des chats v0 entre un scope personnel et un scope d’équipe, ou entre équipes, selon les rôles et droits disponibles.</x:v>
      </x:c>
      <x:c r="E23" s="16" t="str">
        <x:v>Les permissions GitHub, comptes de services tiers et leurs données ; le projet Vercel associé ne suit que lorsque l’expéditeur est Owner de l’équipe actuelle.</x:v>
      </x:c>
      <x:c r="F23" s="16" t="str">
        <x:v>Vérifier scope, rôle Owner, projet Vercel lié et permissions GitHub avant le transfert, puis contrôler dans la cible chats, déploiements, variables, domaines et intégrations.</x:v>
      </x:c>
      <x:c r="G23" s="16" t="str">
        <x:v>Le transfert des chats v0 et celui du projet Vercel sont conditionnels ; les comptes et autorisations externes doivent être transférés ou recréés séparément.</x:v>
      </x:c>
      <x:c r="H23" s="16" t="str">
        <x:v>V0-TRANSFER</x:v>
      </x:c>
      <x:c r="I23" s="16" t="str">
        <x:v>2026-07-28</x:v>
      </x:c>
      <x:c r="J23" s="25" t="str">
        <x:v>unknown</x:v>
      </x:c>
      <x:c r="K23" s="19" t="str"/>
      <x:c r="L23" s="19" t="str"/>
      <x:c r="M23" s="19" t="str"/>
      <x:c r="N23" s="22" t="str">
        <x:f>IF(J23="failed","STOP",IF(J23="verified",IF(AND(LEN(K23)&gt;=3,LEN(L23)=10,L23&lt;='LIRE_D_ABORD'!$C$15,L23&lt;='LIRE_D_ABORD'!$K$10,LEN(M23)&gt;=6),"RESOLU","INVALIDE"),IF(OR(J23="unknown",J23="declared"),"INCONNU","INVALIDE")))</x:f>
        <x:v>INCONNU</x:v>
      </x:c>
    </x:row>
    <x:row r="24" ht="92" customHeight="1">
      <x:c r="B24" s="16" t="str">
        <x:v>SUPABASE-PROJECT-TRANSFER</x:v>
      </x:c>
      <x:c r="C24" s="16" t="str">
        <x:v>Supabase</x:v>
      </x:c>
      <x:c r="D24" s="16" t="str">
        <x:v>Transférer un projet entre organisations Supabase lorsque les rôles et prérequis documentés sont satisfaits.</x:v>
      </x:c>
      <x:c r="E24" s="16" t="str">
        <x:v>Une migration de région, les comptes tiers, une garantie d’absence d’interruption ni le maintien automatique de fonctions ou droits liés au plan source.</x:v>
      </x:c>
      <x:c r="F24" s="16" t="str">
        <x:v>Vérifier Owner dans l’organisation source, appartenance à la cible, absence d’intégration GitHub active, rôles projet et log drains, puis tester après transfert plan, droits, fonctions et disponibilité.</x:v>
      </x:c>
      <x:c r="G24" s="16" t="str">
        <x:v>Le transfert peut connaître une courte indisponibilité et modifier les fonctions ou permissions disponibles selon l’organisation cible ; il ne remplace pas une migration de région.</x:v>
      </x:c>
      <x:c r="H24" s="16" t="str">
        <x:v>SUPABASE-TRANSFER</x:v>
      </x:c>
      <x:c r="I24" s="16" t="str">
        <x:v>2026-07-28</x:v>
      </x:c>
      <x:c r="J24" s="25" t="str">
        <x:v>unknown</x:v>
      </x:c>
      <x:c r="K24" s="19" t="str"/>
      <x:c r="L24" s="19" t="str"/>
      <x:c r="M24" s="19" t="str"/>
      <x:c r="N24" s="22" t="str">
        <x:f>IF(J24="failed","STOP",IF(J24="verified",IF(AND(LEN(K24)&gt;=3,LEN(L24)=10,L24&lt;='LIRE_D_ABORD'!$C$15,L24&lt;='LIRE_D_ABORD'!$K$10,LEN(M24)&gt;=6),"RESOLU","INVALIDE"),IF(OR(J24="unknown",J24="declared"),"INCONNU","INVALIDE")))</x:f>
        <x:v>INCONNU</x:v>
      </x:c>
    </x:row>
    <x:row r="25" ht="92" customHeight="1">
      <x:c r="B25" s="16" t="str">
        <x:v>SUPABASE-BACKUP-STORAGE</x:v>
      </x:c>
      <x:c r="C25" s="16" t="str">
        <x:v>Supabase</x:v>
      </x:c>
      <x:c r="D25" s="16" t="str">
        <x:v>Sauvegarder et restaurer la base PostgreSQL selon les mécanismes et l’offre disponibles.</x:v>
      </x:c>
      <x:c r="E25" s="16" t="str">
        <x:v>Les objets de Storage API ; la sauvegarde de base n’en conserve que les métadonnées.</x:v>
      </x:c>
      <x:c r="F25" s="16" t="str">
        <x:v>Exporter séparément base et objets, restaurer dans un projet isolé, puis comparer tables, comptes, buckets, nombres d’objets et hashes d’un échantillon.</x:v>
      </x:c>
      <x:c r="G25" s="16" t="str">
        <x:v>Une sauvegarde de base réussie ne constitue pas une sauvegarde complète de l’application.</x:v>
      </x:c>
      <x:c r="H25" s="16" t="str">
        <x:v>SUPABASE-BACKUPS</x:v>
      </x:c>
      <x:c r="I25" s="16" t="str">
        <x:v>2026-07-28</x:v>
      </x:c>
      <x:c r="J25" s="25" t="str">
        <x:v>unknown</x:v>
      </x:c>
      <x:c r="K25" s="19" t="str"/>
      <x:c r="L25" s="19" t="str"/>
      <x:c r="M25" s="19" t="str"/>
      <x:c r="N25" s="22" t="str">
        <x:f>IF(J25="failed","STOP",IF(J25="verified",IF(AND(LEN(K25)&gt;=3,LEN(L25)=10,L25&lt;='LIRE_D_ABORD'!$C$15,L25&lt;='LIRE_D_ABORD'!$K$10,LEN(M25)&gt;=6),"RESOLU","INVALIDE"),IF(OR(J25="unknown",J25="declared"),"INCONNU","INVALIDE")))</x:f>
        <x:v>INCONNU</x:v>
      </x:c>
    </x:row>
    <x:row r="26" ht="92" customHeight="1">
      <x:c r="B26" s="16" t="str">
        <x:v>SUPABASE-RESTORE-DOWNTIME</x:v>
      </x:c>
      <x:c r="C26" s="16" t="str">
        <x:v>Supabase</x:v>
      </x:c>
      <x:c r="D26" s="16" t="str">
        <x:v>Restaurer une sauvegarde de base sur un projet selon les options disponibles.</x:v>
      </x:c>
      <x:c r="E26" s="16" t="str">
        <x:v>Une reprise instantanée, sans indisponibilité, ni la validation des services externes après restauration.</x:v>
      </x:c>
      <x:c r="F26" s="16" t="str">
        <x:v>Chronométrer une restauration sur une cible isolée, mesurer perte de données, indisponibilité et remise en service de l’authentification, des fonctions et intégrations.</x:v>
      </x:c>
      <x:c r="G26" s="16" t="str">
        <x:v>La restauration peut provoquer une indisponibilité ; RPO et RTO doivent être testés et non déduits de la fréquence de sauvegarde.</x:v>
      </x:c>
      <x:c r="H26" s="16" t="str">
        <x:v>SUPABASE-BACKUPS</x:v>
      </x:c>
      <x:c r="I26" s="16" t="str">
        <x:v>2026-07-28</x:v>
      </x:c>
      <x:c r="J26" s="25" t="str">
        <x:v>unknown</x:v>
      </x:c>
      <x:c r="K26" s="19" t="str"/>
      <x:c r="L26" s="19" t="str"/>
      <x:c r="M26" s="19" t="str"/>
      <x:c r="N26" s="22" t="str">
        <x:f>IF(J26="failed","STOP",IF(J26="verified",IF(AND(LEN(K26)&gt;=3,LEN(L26)=10,L26&lt;='LIRE_D_ABORD'!$C$15,L26&lt;='LIRE_D_ABORD'!$K$10,LEN(M26)&gt;=6),"RESOLU","INVALIDE"),IF(OR(J26="unknown",J26="declared"),"INCONNU","INVALIDE")))</x:f>
        <x:v>INCONNU</x:v>
      </x:c>
    </x:row>
    <x:row r="27" ht="92" customHeight="1">
      <x:c r="B27" s="16" t="str">
        <x:v>SUPABASE-CUSTOM-ROLE-PASSWORDS</x:v>
      </x:c>
      <x:c r="C27" s="16" t="str">
        <x:v>Supabase</x:v>
      </x:c>
      <x:c r="D27" s="16" t="str">
        <x:v>Exporter le schéma, les rôles et les données par les outils documentés.</x:v>
      </x:c>
      <x:c r="E27" s="16" t="str">
        <x:v>Les mots de passe des rôles personnalisés avec LOGIN.</x:v>
      </x:c>
      <x:c r="F27" s="16" t="str">
        <x:v>Inventorier les rôles LOGIN, restaurer dans une cible isolée, définir de nouveaux mots de passe de manière sécurisée et tester chaque connexion nécessaire.</x:v>
      </x:c>
      <x:c r="G27" s="16" t="str">
        <x:v>Le dump et la restauration demandent des gestes manuels pour certains rôles ; leur succès SQL ne prouve pas l’accès applicatif.</x:v>
      </x:c>
      <x:c r="H27" s="16" t="str">
        <x:v>SUPABASE-BACKUPS</x:v>
      </x:c>
      <x:c r="I27" s="16" t="str">
        <x:v>2026-07-28</x:v>
      </x:c>
      <x:c r="J27" s="25" t="str">
        <x:v>unknown</x:v>
      </x:c>
      <x:c r="K27" s="19" t="str"/>
      <x:c r="L27" s="19" t="str"/>
      <x:c r="M27" s="19" t="str"/>
      <x:c r="N27" s="22" t="str">
        <x:f>IF(J27="failed","STOP",IF(J27="verified",IF(AND(LEN(K27)&gt;=3,LEN(L27)=10,L27&lt;='LIRE_D_ABORD'!$C$15,L27&lt;='LIRE_D_ABORD'!$K$10,LEN(M27)&gt;=6),"RESOLU","INVALIDE"),IF(OR(J27="unknown",J27="declared"),"INCONNU","INVALIDE")))</x:f>
        <x:v>INCONNU</x:v>
      </x:c>
    </x:row>
    <x:row r="28" ht="92" customHeight="1">
      <x:c r="B28" s="16" t="str">
        <x:v>SUPABASE-API-KEYS</x:v>
      </x:c>
      <x:c r="C28" s="16" t="str">
        <x:v>Supabase</x:v>
      </x:c>
      <x:c r="D28" s="16" t="str">
        <x:v>Utiliser une clé publishable dans un client public protégé par RLS et une clé secret dans un backend contrôlé.</x:v>
      </x:c>
      <x:c r="E28" s="16" t="str">
        <x:v>La sécurité des politiques RLS, la rotation des appelants oubliés ou la compatibilité automatique avec les anciennes clés anon/service_role.</x:v>
      </x:c>
      <x:c r="F28" s="16" t="str">
        <x:v>Rechercher toutes les clés et tous les appelants, tester les droits avec des comptes ordinaires, migrer progressivement, tourner les secrets et vérifier les journaux.</x:v>
      </x:c>
      <x:c r="G28" s="16" t="str">
        <x:v>Une clé secret ne doit jamais être exposée au navigateur et peut contourner RLS ; les clés legacy sont annoncées comme dépréciées fin 2026.</x:v>
      </x:c>
      <x:c r="H28" s="16" t="str">
        <x:v>SUPABASE-KEYS</x:v>
      </x:c>
      <x:c r="I28" s="16" t="str">
        <x:v>2026-07-28</x:v>
      </x:c>
      <x:c r="J28" s="25" t="str">
        <x:v>unknown</x:v>
      </x:c>
      <x:c r="K28" s="19" t="str"/>
      <x:c r="L28" s="19" t="str"/>
      <x:c r="M28" s="19" t="str"/>
      <x:c r="N28" s="22" t="str">
        <x:f>IF(J28="failed","STOP",IF(J28="verified",IF(AND(LEN(K28)&gt;=3,LEN(L28)=10,L28&lt;='LIRE_D_ABORD'!$C$15,L28&lt;='LIRE_D_ABORD'!$K$10,LEN(M28)&gt;=6),"RESOLU","INVALIDE"),IF(OR(J28="unknown",J28="declared"),"INCONNU","INVALIDE")))</x:f>
        <x:v>INCONNU</x:v>
      </x:c>
    </x:row>
    <x:row r="29" ht="92" customHeight="1">
      <x:c r="B29" s="16" t="str">
        <x:v>NPM-CLEAN-INSTALL</x:v>
      </x:c>
      <x:c r="C29" s="16" t="str">
        <x:v>npm 12</x:v>
      </x:c>
      <x:c r="D29" s="16" t="str">
        <x:v>Effectuer une installation propre avec un package-lock cohérent, en supprimant node_modules et sans réécrire package.json ou le lockfile.</x:v>
      </x:c>
      <x:c r="E29" s="16" t="str">
        <x:v>La version de Node/npm, les options .npmrc ayant façonné le lockfile, la licence, la sûreté ou la capacité de build.</x:v>
      </x:c>
      <x:c r="F29" s="16" t="str">
        <x:v>Consigner Node, npm, packageManager et .npmrc, exécuter npm ci dans un environnement isolé, puis lancer build et tests sans cache.</x:v>
      </x:c>
      <x:c r="G29" s="16" t="str">
        <x:v>npm ci échoue sur un écart manifest/lockfile mais sa réussite ne suffit pas à prouver une reconstruction fidèle de la production.</x:v>
      </x:c>
      <x:c r="H29" s="16" t="str">
        <x:v>NPM-CI</x:v>
      </x:c>
      <x:c r="I29" s="16" t="str">
        <x:v>2026-07-28</x:v>
      </x:c>
      <x:c r="J29" s="25" t="str">
        <x:v>unknown</x:v>
      </x:c>
      <x:c r="K29" s="19" t="str"/>
      <x:c r="L29" s="19" t="str"/>
      <x:c r="M29" s="19" t="str"/>
      <x:c r="N29" s="22" t="str">
        <x:f>IF(J29="failed","STOP",IF(J29="verified",IF(AND(LEN(K29)&gt;=3,LEN(L29)=10,L29&lt;='LIRE_D_ABORD'!$C$15,L29&lt;='LIRE_D_ABORD'!$K$10,LEN(M29)&gt;=6),"RESOLU","INVALIDE"),IF(OR(J29="unknown",J29="declared"),"INCONNU","INVALIDE")))</x:f>
        <x:v>INCONNU</x:v>
      </x:c>
    </x:row>
    <x:row r="30" ht="92" customHeight="1">
      <x:c r="B30" s="16" t="str">
        <x:v>NPM-INSTALL-CONTROLS</x:v>
      </x:c>
      <x:c r="C30" s="16" t="str">
        <x:v>npm 12</x:v>
      </x:c>
      <x:c r="D30" s="16" t="str">
        <x:v>Bloquer par défaut les dépendances Git et URL distante non autorisées et contrôler les scripts d’installation par politique.</x:v>
      </x:c>
      <x:c r="E30" s="16" t="str">
        <x:v>La revue des dépendances déjà admises, des scripts autorisés, des tarballs du registre ou des composants hors npm.</x:v>
      </x:c>
      <x:c r="F30" s="16" t="str">
        <x:v>Lire .npmrc et allowScripts, examiner chaque exception, exécuter l’installation sans secret ni donnée réelle et archiver les journaux.</x:v>
      </x:c>
      <x:c r="G30" s="16" t="str">
        <x:v>Les valeurs par défaut dépendent de la version npm ; elles doivent être enregistrées au lieu d’être supposées.</x:v>
      </x:c>
      <x:c r="H30" s="16" t="str">
        <x:v>NPM-CI</x:v>
      </x:c>
      <x:c r="I30" s="16" t="str">
        <x:v>2026-07-28</x:v>
      </x:c>
      <x:c r="J30" s="25" t="str">
        <x:v>unknown</x:v>
      </x:c>
      <x:c r="K30" s="19" t="str"/>
      <x:c r="L30" s="19" t="str"/>
      <x:c r="M30" s="19" t="str"/>
      <x:c r="N30" s="22" t="str">
        <x:f>IF(J30="failed","STOP",IF(J30="verified",IF(AND(LEN(K30)&gt;=3,LEN(L30)=10,L30&lt;='LIRE_D_ABORD'!$C$15,L30&lt;='LIRE_D_ABORD'!$K$10,LEN(M30)&gt;=6),"RESOLU","INVALIDE"),IF(OR(J30="unknown",J30="declared"),"INCONNU","INVALIDE")))</x:f>
        <x:v>INCONNU</x:v>
      </x:c>
    </x:row>
    <x:row r="31" ht="92" customHeight="1">
      <x:c r="B31" s="16" t="str">
        <x:v>NPM-SBOM-EXPORT</x:v>
      </x:c>
      <x:c r="C31" s="16" t="str">
        <x:v>npm</x:v>
      </x:c>
      <x:c r="D31" s="16" t="str">
        <x:v>Générer un SBOM au format SPDX ou CycloneDX à partir de l’arbre de dépendances.</x:v>
      </x:c>
      <x:c r="E31" s="16" t="str">
        <x:v>Une décision de licence, un audit de vulnérabilité, les services externes ou la preuve que cet arbre correspond à l’artefact déployé.</x:v>
      </x:c>
      <x:c r="F31" s="16" t="str">
        <x:v>Générer les deux formats sur le build gelé, valider le JSON, archiver le hash et relier le document au commit et à l’artefact.</x:v>
      </x:c>
      <x:c r="G31" s="16" t="str">
        <x:v>Le SBOM est un inventaire daté dont la complétude dépend du projet et de l’environnement observés.</x:v>
      </x:c>
      <x:c r="H31" s="16" t="str">
        <x:v>NPM-SBOM</x:v>
      </x:c>
      <x:c r="I31" s="16" t="str">
        <x:v>2026-07-28</x:v>
      </x:c>
      <x:c r="J31" s="25" t="str">
        <x:v>unknown</x:v>
      </x:c>
      <x:c r="K31" s="19" t="str"/>
      <x:c r="L31" s="19" t="str"/>
      <x:c r="M31" s="19" t="str"/>
      <x:c r="N31" s="22" t="str">
        <x:f>IF(J31="failed","STOP",IF(J31="verified",IF(AND(LEN(K31)&gt;=3,LEN(L31)=10,L31&lt;='LIRE_D_ABORD'!$C$15,L31&lt;='LIRE_D_ABORD'!$K$10,LEN(M31)&gt;=6),"RESOLU","INVALIDE"),IF(OR(J31="unknown",J31="declared"),"INCONNU","INVALIDE")))</x:f>
        <x:v>INCONNU</x:v>
      </x:c>
    </x:row>
    <x:row r="32" ht="92" customHeight="1">
      <x:c r="B32" s="17" t="str">
        <x:v>GITHUB-BUILD-ATTESTATION</x:v>
      </x:c>
      <x:c r="C32" s="17" t="str">
        <x:v>GitHub Actions</x:v>
      </x:c>
      <x:c r="D32" s="17" t="str">
        <x:v>Générer une attestation reliant un artefact à un workflow, un dépôt, un commit, un événement et un contexte de build.</x:v>
      </x:c>
      <x:c r="E32" s="17" t="str">
        <x:v>La correction fonctionnelle, la sécurité du code, la fidélité des données ou l’identité de l’artefact effectivement servi si elle n’est pas comparée.</x:v>
      </x:c>
      <x:c r="F32" s="17" t="str">
        <x:v>Générer l’attestation après le build, vérifier cryptographiquement l’artefact avec GitHub CLI et comparer son digest à celui déployé.</x:v>
      </x:c>
      <x:c r="G32" s="17" t="str">
        <x:v>La disponibilité dépend du plan et du type de dépôt ; une attestation non vérifiée ou non reliée au binaire servi ne suffit pas.</x:v>
      </x:c>
      <x:c r="H32" s="17" t="str">
        <x:v>GITHUB-ATTEST</x:v>
      </x:c>
      <x:c r="I32" s="17" t="str">
        <x:v>2026-07-28</x:v>
      </x:c>
      <x:c r="J32" s="40" t="str">
        <x:v>unknown</x:v>
      </x:c>
      <x:c r="K32" s="20" t="str"/>
      <x:c r="L32" s="20" t="str"/>
      <x:c r="M32" s="20" t="str"/>
      <x:c r="N32" s="23" t="str">
        <x:f>IF(J32="failed","STOP",IF(J32="verified",IF(AND(LEN(K32)&gt;=3,LEN(L32)=10,L32&lt;='LIRE_D_ABORD'!$C$15,L32&lt;='LIRE_D_ABORD'!$K$10,LEN(M32)&gt;=6),"RESOLU","INVALIDE"),IF(OR(J32="unknown",J32="declared"),"INCONNU","INVALIDE")))</x:f>
        <x:v>INCONNU</x:v>
      </x:c>
    </x:row>
  </x:sheetData>
  <x:mergeCells>
    <x:mergeCell ref="A1:N2"/>
    <x:mergeCell ref="A3:N3"/>
  </x:mergeCells>
  <x:conditionalFormatting sqref="N6:N32">
    <x:cfRule type="containsText" dxfId="12" priority="1" operator="containsText" text="STOP"/>
    <x:cfRule type="containsText" dxfId="13" priority="2" operator="containsText" text="INCONNU"/>
    <x:cfRule type="containsText" dxfId="14" priority="3" operator="containsText" text="INVALIDE"/>
    <x:cfRule type="containsText" dxfId="15" priority="4" operator="containsText" text="PASS"/>
    <x:cfRule type="containsText" dxfId="16" priority="5" operator="containsText" text="RESOLU"/>
    <x:cfRule type="containsText" dxfId="17" priority="6" operator="containsText" text="VALIDE"/>
  </x:conditionalFormatting>
  <x:dataValidations count="1">
    <x:dataValidation type="list" sqref="J6:J32">
      <x:formula1>"unknown,declared,verified,failed"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68ce0627b7492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SBOM LICENCES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Dépendances directes, transitives, copiées et décisions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Couche</x:v>
      </x:c>
      <x:c r="D5" s="11" t="str">
        <x:v>Périmètre</x:v>
      </x:c>
      <x:c r="E5" s="11" t="str">
        <x:v>Composant</x:v>
      </x:c>
      <x:c r="F5" s="11" t="str">
        <x:v>Version</x:v>
      </x:c>
      <x:c r="G5" s="11" t="str">
        <x:v>Licence</x:v>
      </x:c>
      <x:c r="H5" s="11" t="str">
        <x:v>Obligations / restriction</x:v>
      </x:c>
      <x:c r="I5" s="11" t="str">
        <x:v>Source / provenance</x:v>
      </x:c>
      <x:c r="J5" s="11" t="str">
        <x:v>Réf SBOM</x:v>
      </x:c>
      <x:c r="K5" s="11" t="str">
        <x:v>Date ISO</x:v>
      </x:c>
      <x:c r="L5" s="11" t="str">
        <x:v>Propriétaire</x:v>
      </x:c>
      <x:c r="M5" s="11" t="str">
        <x:v>Décision</x:v>
      </x:c>
      <x:c r="N5" s="11" t="str">
        <x:v>Résultat</x:v>
      </x:c>
    </x:row>
    <x:row r="6" ht="62" customHeight="1">
      <x:c r="B6" s="16" t="str">
        <x:v>sbom-01</x:v>
      </x:c>
      <x:c r="C6" s="16" t="str">
        <x:v>Application</x:v>
      </x:c>
      <x:c r="D6" s="16" t="str">
        <x:v>Dépendances directes</x:v>
      </x:c>
      <x:c r="E6" s="19" t="str"/>
      <x:c r="F6" s="19" t="str"/>
      <x:c r="G6" s="19" t="str"/>
      <x:c r="H6" s="19" t="str"/>
      <x:c r="I6" s="19" t="str"/>
      <x:c r="J6" s="19" t="str"/>
      <x:c r="K6" s="19" t="str"/>
      <x:c r="L6" s="19" t="str">
        <x:v>À qualifier</x:v>
      </x:c>
      <x:c r="M6" s="19" t="str"/>
      <x:c r="N6" s="22" t="str">
        <x:f>IF(COUNTBLANK(E6:M6)&gt;0,"INCONNU",IF(AND(LEN(J6)&gt;=6,LEN(K6)=10,K6&lt;='LIRE_D_ABORD'!$C$15,K6&lt;='LIRE_D_ABORD'!$K$10,LEN(L6)&gt;=3,OR(M6="Conserver",M6="Remplacer",M6="Retirer",M6="Accepter")),"RESOLU","STOP"))</x:f>
        <x:v>INCONNU</x:v>
      </x:c>
    </x:row>
    <x:row r="7" ht="62" customHeight="1">
      <x:c r="B7" s="16" t="str">
        <x:v>sbom-02</x:v>
      </x:c>
      <x:c r="C7" s="16" t="str">
        <x:v>Application</x:v>
      </x:c>
      <x:c r="D7" s="16" t="str">
        <x:v>Dépendances transitives</x:v>
      </x:c>
      <x:c r="E7" s="19" t="str"/>
      <x:c r="F7" s="19" t="str"/>
      <x:c r="G7" s="19" t="str"/>
      <x:c r="H7" s="19" t="str"/>
      <x:c r="I7" s="19" t="str"/>
      <x:c r="J7" s="19" t="str"/>
      <x:c r="K7" s="19" t="str"/>
      <x:c r="L7" s="19" t="str">
        <x:v>À qualifier</x:v>
      </x:c>
      <x:c r="M7" s="19" t="str"/>
      <x:c r="N7" s="22" t="str">
        <x:f>IF(COUNTBLANK(E7:M7)&gt;0,"INCONNU",IF(AND(LEN(J7)&gt;=6,LEN(K7)=10,K7&lt;='LIRE_D_ABORD'!$C$15,K7&lt;='LIRE_D_ABORD'!$K$10,LEN(L7)&gt;=3,OR(M7="Conserver",M7="Remplacer",M7="Retirer",M7="Accepter")),"RESOLU","STOP"))</x:f>
        <x:v>INCONNU</x:v>
      </x:c>
    </x:row>
    <x:row r="8" ht="62" customHeight="1">
      <x:c r="B8" s="16" t="str">
        <x:v>sbom-03</x:v>
      </x:c>
      <x:c r="C8" s="16" t="str">
        <x:v>Code copié</x:v>
      </x:c>
      <x:c r="D8" s="16" t="str">
        <x:v>Snippets, templates et générateurs</x:v>
      </x:c>
      <x:c r="E8" s="19" t="str"/>
      <x:c r="F8" s="19" t="str"/>
      <x:c r="G8" s="19" t="str"/>
      <x:c r="H8" s="19" t="str"/>
      <x:c r="I8" s="19" t="str"/>
      <x:c r="J8" s="19" t="str"/>
      <x:c r="K8" s="19" t="str"/>
      <x:c r="L8" s="19" t="str">
        <x:v>À qualifier</x:v>
      </x:c>
      <x:c r="M8" s="19" t="str"/>
      <x:c r="N8" s="22" t="str">
        <x:f>IF(COUNTBLANK(E8:M8)&gt;0,"INCONNU",IF(AND(LEN(J8)&gt;=6,LEN(K8)=10,K8&lt;='LIRE_D_ABORD'!$C$15,K8&lt;='LIRE_D_ABORD'!$K$10,LEN(L8)&gt;=3,OR(M8="Conserver",M8="Remplacer",M8="Retirer",M8="Accepter")),"RESOLU","STOP"))</x:f>
        <x:v>INCONNU</x:v>
      </x:c>
    </x:row>
    <x:row r="9" ht="62" customHeight="1">
      <x:c r="B9" s="16" t="str">
        <x:v>sbom-04</x:v>
      </x:c>
      <x:c r="C9" s="16" t="str">
        <x:v>Interface</x:v>
      </x:c>
      <x:c r="D9" s="16" t="str">
        <x:v>Polices, icônes, images et design system</x:v>
      </x:c>
      <x:c r="E9" s="19" t="str"/>
      <x:c r="F9" s="19" t="str"/>
      <x:c r="G9" s="19" t="str"/>
      <x:c r="H9" s="19" t="str"/>
      <x:c r="I9" s="19" t="str"/>
      <x:c r="J9" s="19" t="str"/>
      <x:c r="K9" s="19" t="str"/>
      <x:c r="L9" s="19" t="str">
        <x:v>À qualifier</x:v>
      </x:c>
      <x:c r="M9" s="19" t="str"/>
      <x:c r="N9" s="22" t="str">
        <x:f>IF(COUNTBLANK(E9:M9)&gt;0,"INCONNU",IF(AND(LEN(J9)&gt;=6,LEN(K9)=10,K9&lt;='LIRE_D_ABORD'!$C$15,K9&lt;='LIRE_D_ABORD'!$K$10,LEN(L9)&gt;=3,OR(M9="Conserver",M9="Remplacer",M9="Retirer",M9="Accepter")),"RESOLU","STOP"))</x:f>
        <x:v>INCONNU</x:v>
      </x:c>
    </x:row>
    <x:row r="10" ht="62" customHeight="1">
      <x:c r="B10" s="16" t="str">
        <x:v>sbom-05</x:v>
      </x:c>
      <x:c r="C10" s="16" t="str">
        <x:v>IA</x:v>
      </x:c>
      <x:c r="D10" s="16" t="str">
        <x:v>Modèles, API et SDK</x:v>
      </x:c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>
        <x:v>À qualifier</x:v>
      </x:c>
      <x:c r="M10" s="19" t="str"/>
      <x:c r="N10" s="22" t="str">
        <x:f>IF(COUNTBLANK(E10:M10)&gt;0,"INCONNU",IF(AND(LEN(J10)&gt;=6,LEN(K10)=10,K10&lt;='LIRE_D_ABORD'!$C$15,K10&lt;='LIRE_D_ABORD'!$K$10,LEN(L10)&gt;=3,OR(M10="Conserver",M10="Remplacer",M10="Retirer",M10="Accepter")),"RESOLU","STOP"))</x:f>
        <x:v>INCONNU</x:v>
      </x:c>
    </x:row>
    <x:row r="11" ht="62" customHeight="1">
      <x:c r="B11" s="16" t="str">
        <x:v>sbom-06</x:v>
      </x:c>
      <x:c r="C11" s="16" t="str">
        <x:v>Backend</x:v>
      </x:c>
      <x:c r="D11" s="16" t="str">
        <x:v>Fonctions serverless / edge</x:v>
      </x:c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>
        <x:v>À qualifier</x:v>
      </x:c>
      <x:c r="M11" s="19" t="str"/>
      <x:c r="N11" s="22" t="str">
        <x:f>IF(COUNTBLANK(E11:M11)&gt;0,"INCONNU",IF(AND(LEN(J11)&gt;=6,LEN(K11)=10,K11&lt;='LIRE_D_ABORD'!$C$15,K11&lt;='LIRE_D_ABORD'!$K$10,LEN(L11)&gt;=3,OR(M11="Conserver",M11="Remplacer",M11="Retirer",M11="Accepter")),"RESOLU","STOP"))</x:f>
        <x:v>INCONNU</x:v>
      </x:c>
    </x:row>
    <x:row r="12" ht="62" customHeight="1">
      <x:c r="B12" s="16" t="str">
        <x:v>sbom-07</x:v>
      </x:c>
      <x:c r="C12" s="16" t="str">
        <x:v>Données</x:v>
      </x:c>
      <x:c r="D12" s="16" t="str">
        <x:v>Connecteurs, drivers et extensions</x:v>
      </x:c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>
        <x:v>À qualifier</x:v>
      </x:c>
      <x:c r="M12" s="19" t="str"/>
      <x:c r="N12" s="22" t="str">
        <x:f>IF(COUNTBLANK(E12:M12)&gt;0,"INCONNU",IF(AND(LEN(J12)&gt;=6,LEN(K12)=10,K12&lt;='LIRE_D_ABORD'!$C$15,K12&lt;='LIRE_D_ABORD'!$K$10,LEN(L12)&gt;=3,OR(M12="Conserver",M12="Remplacer",M12="Retirer",M12="Accepter")),"RESOLU","STOP"))</x:f>
        <x:v>INCONNU</x:v>
      </x:c>
    </x:row>
    <x:row r="13" ht="62" customHeight="1">
      <x:c r="B13" s="17" t="str">
        <x:v>sbom-08</x:v>
      </x:c>
      <x:c r="C13" s="17" t="str">
        <x:v>Build</x:v>
      </x:c>
      <x:c r="D13" s="17" t="str">
        <x:v>CI, registry, scanners et outils</x:v>
      </x:c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>
        <x:v>À qualifier</x:v>
      </x:c>
      <x:c r="M13" s="20" t="str"/>
      <x:c r="N13" s="23" t="str">
        <x:f>IF(COUNTBLANK(E13:M13)&gt;0,"INCONNU",IF(AND(LEN(J13)&gt;=6,LEN(K13)=10,K13&lt;='LIRE_D_ABORD'!$C$15,K13&lt;='LIRE_D_ABORD'!$K$10,LEN(L13)&gt;=3,OR(M13="Conserver",M13="Remplacer",M13="Retirer",M13="Accepter")),"RESOLU","STOP"))</x:f>
        <x:v>INCONNU</x:v>
      </x:c>
    </x:row>
  </x:sheetData>
  <x:mergeCells>
    <x:mergeCell ref="A1:N2"/>
    <x:mergeCell ref="A3:N3"/>
  </x:mergeCells>
  <x:conditionalFormatting sqref="N6:N13">
    <x:cfRule type="containsText" dxfId="18" priority="1" operator="containsText" text="STOP"/>
    <x:cfRule type="containsText" dxfId="19" priority="2" operator="containsText" text="INCONNU"/>
    <x:cfRule type="containsText" dxfId="20" priority="3" operator="containsText" text="INVALIDE"/>
    <x:cfRule type="containsText" dxfId="21" priority="4" operator="containsText" text="PASS"/>
    <x:cfRule type="containsText" dxfId="22" priority="5" operator="containsText" text="RESOLU"/>
    <x:cfRule type="containsText" dxfId="23" priority="6" operator="containsText" text="VALIDE"/>
  </x:conditionalFormatting>
  <x:dataValidations count="1">
    <x:dataValidation type="list" sqref="M6:M13">
      <x:formula1>"À qualifier,Conserver,Remplacer,Retirer,Accepter"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9af1601b6d4d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DONNEES RESTORE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Sauvegarde et restauration complète sur copie isolée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Couche</x:v>
      </x:c>
      <x:c r="D5" s="11" t="str">
        <x:v>Contenu contrôlé</x:v>
      </x:c>
      <x:c r="E5" s="11" t="str">
        <x:v>Nombre avant</x:v>
      </x:c>
      <x:c r="F5" s="11" t="str">
        <x:v>Nombre après</x:v>
      </x:c>
      <x:c r="G5" s="11" t="str">
        <x:v>Écart</x:v>
      </x:c>
      <x:c r="H5" s="11" t="str">
        <x:v>Checksum / requête</x:v>
      </x:c>
      <x:c r="I5" s="11" t="str">
        <x:v>Début ISO</x:v>
      </x:c>
      <x:c r="J5" s="11" t="str">
        <x:v>Fin ISO</x:v>
      </x:c>
      <x:c r="K5" s="11" t="str">
        <x:v>Preuve</x:v>
      </x:c>
      <x:c r="L5" s="11" t="str">
        <x:v>Propriétaire</x:v>
      </x:c>
      <x:c r="M5" s="11" t="str">
        <x:v>Date de contrôle</x:v>
      </x:c>
      <x:c r="N5" s="11" t="str">
        <x:v>Résultat</x:v>
      </x:c>
    </x:row>
    <x:row r="6" ht="62" customHeight="1">
      <x:c r="B6" s="16" t="str">
        <x:v>restore-01</x:v>
      </x:c>
      <x:c r="C6" s="16" t="str">
        <x:v>Schéma</x:v>
      </x:c>
      <x:c r="D6" s="16" t="str">
        <x:v>Tables, vues, contraintes et fonctions</x:v>
      </x:c>
      <x:c r="E6" s="19" t="str"/>
      <x:c r="F6" s="19" t="str"/>
      <x:c r="G6" s="22" t="str">
        <x:f>IF(OR(E6="",F6=""),"ND",F6-E6)</x:f>
        <x:v>ND</x:v>
      </x:c>
      <x:c r="H6" s="19" t="str"/>
      <x:c r="I6" s="19" t="str"/>
      <x:c r="J6" s="19" t="str"/>
      <x:c r="K6" s="19" t="str"/>
      <x:c r="L6" s="19" t="str"/>
      <x:c r="M6" s="19" t="str"/>
      <x:c r="N6" s="22" t="str">
        <x:f>IF(OR(E6="",F6="",LEN(H6)&lt;8,LEN(I6)&lt;&gt;10,LEN(J6)&lt;&gt;10,LEN(K6)&lt;6,LEN(L6)&lt;3,LEN(M6)&lt;&gt;10),"INCONNU",IF(AND(G6=0,I6&lt;=J6,J6&lt;='LIRE_D_ABORD'!$C$15,J6&lt;='LIRE_D_ABORD'!$K$10,M6&lt;='LIRE_D_ABORD'!$C$15,M6&lt;='LIRE_D_ABORD'!$K$10),"RESOLU","STOP"))</x:f>
        <x:v>INCONNU</x:v>
      </x:c>
    </x:row>
    <x:row r="7" ht="62" customHeight="1">
      <x:c r="B7" s="16" t="str">
        <x:v>restore-02</x:v>
      </x:c>
      <x:c r="C7" s="16" t="str">
        <x:v>Données</x:v>
      </x:c>
      <x:c r="D7" s="16" t="str">
        <x:v>Lignes métier et référentiels</x:v>
      </x:c>
      <x:c r="E7" s="19" t="str"/>
      <x:c r="F7" s="19" t="str"/>
      <x:c r="G7" s="22" t="str">
        <x:f>IF(OR(E7="",F7=""),"ND",F7-E7)</x:f>
        <x:v>ND</x:v>
      </x:c>
      <x:c r="H7" s="19" t="str"/>
      <x:c r="I7" s="19" t="str"/>
      <x:c r="J7" s="19" t="str"/>
      <x:c r="K7" s="19" t="str"/>
      <x:c r="L7" s="19" t="str"/>
      <x:c r="M7" s="19" t="str"/>
      <x:c r="N7" s="22" t="str">
        <x:f>IF(OR(E7="",F7="",LEN(H7)&lt;8,LEN(I7)&lt;&gt;10,LEN(J7)&lt;&gt;10,LEN(K7)&lt;6,LEN(L7)&lt;3,LEN(M7)&lt;&gt;10),"INCONNU",IF(AND(G7=0,I7&lt;=J7,J7&lt;='LIRE_D_ABORD'!$C$15,J7&lt;='LIRE_D_ABORD'!$K$10,M7&lt;='LIRE_D_ABORD'!$C$15,M7&lt;='LIRE_D_ABORD'!$K$10),"RESOLU","STOP"))</x:f>
        <x:v>INCONNU</x:v>
      </x:c>
    </x:row>
    <x:row r="8" ht="62" customHeight="1">
      <x:c r="B8" s="16" t="str">
        <x:v>restore-03</x:v>
      </x:c>
      <x:c r="C8" s="16" t="str">
        <x:v>Stockage</x:v>
      </x:c>
      <x:c r="D8" s="16" t="str">
        <x:v>Objets, métadonnées et droits</x:v>
      </x:c>
      <x:c r="E8" s="19" t="str"/>
      <x:c r="F8" s="19" t="str"/>
      <x:c r="G8" s="22" t="str">
        <x:f>IF(OR(E8="",F8=""),"ND",F8-E8)</x:f>
        <x:v>ND</x:v>
      </x:c>
      <x:c r="H8" s="19" t="str"/>
      <x:c r="I8" s="19" t="str"/>
      <x:c r="J8" s="19" t="str"/>
      <x:c r="K8" s="19" t="str"/>
      <x:c r="L8" s="19" t="str"/>
      <x:c r="M8" s="19" t="str"/>
      <x:c r="N8" s="22" t="str">
        <x:f>IF(OR(E8="",F8="",LEN(H8)&lt;8,LEN(I8)&lt;&gt;10,LEN(J8)&lt;&gt;10,LEN(K8)&lt;6,LEN(L8)&lt;3,LEN(M8)&lt;&gt;10),"INCONNU",IF(AND(G8=0,I8&lt;=J8,J8&lt;='LIRE_D_ABORD'!$C$15,J8&lt;='LIRE_D_ABORD'!$K$10,M8&lt;='LIRE_D_ABORD'!$C$15,M8&lt;='LIRE_D_ABORD'!$K$10),"RESOLU","STOP"))</x:f>
        <x:v>INCONNU</x:v>
      </x:c>
    </x:row>
    <x:row r="9" ht="62" customHeight="1">
      <x:c r="B9" s="16" t="str">
        <x:v>restore-04</x:v>
      </x:c>
      <x:c r="C9" s="16" t="str">
        <x:v>Identités</x:v>
      </x:c>
      <x:c r="D9" s="16" t="str">
        <x:v>Comptes, facteurs et rôles</x:v>
      </x:c>
      <x:c r="E9" s="19" t="str"/>
      <x:c r="F9" s="19" t="str"/>
      <x:c r="G9" s="22" t="str">
        <x:f>IF(OR(E9="",F9=""),"ND",F9-E9)</x:f>
        <x:v>ND</x:v>
      </x:c>
      <x:c r="H9" s="19" t="str"/>
      <x:c r="I9" s="19" t="str"/>
      <x:c r="J9" s="19" t="str"/>
      <x:c r="K9" s="19" t="str"/>
      <x:c r="L9" s="19" t="str"/>
      <x:c r="M9" s="19" t="str"/>
      <x:c r="N9" s="22" t="str">
        <x:f>IF(OR(E9="",F9="",LEN(H9)&lt;8,LEN(I9)&lt;&gt;10,LEN(J9)&lt;&gt;10,LEN(K9)&lt;6,LEN(L9)&lt;3,LEN(M9)&lt;&gt;10),"INCONNU",IF(AND(G9=0,I9&lt;=J9,J9&lt;='LIRE_D_ABORD'!$C$15,J9&lt;='LIRE_D_ABORD'!$K$10,M9&lt;='LIRE_D_ABORD'!$C$15,M9&lt;='LIRE_D_ABORD'!$K$10),"RESOLU","STOP"))</x:f>
        <x:v>INCONNU</x:v>
      </x:c>
    </x:row>
    <x:row r="10" ht="62" customHeight="1">
      <x:c r="B10" s="16" t="str">
        <x:v>restore-05</x:v>
      </x:c>
      <x:c r="C10" s="16" t="str">
        <x:v>Automatismes</x:v>
      </x:c>
      <x:c r="D10" s="16" t="str">
        <x:v>Jobs, webhooks et files</x:v>
      </x:c>
      <x:c r="E10" s="19" t="str"/>
      <x:c r="F10" s="19" t="str"/>
      <x:c r="G10" s="22" t="str">
        <x:f>IF(OR(E10="",F10=""),"ND",F10-E10)</x:f>
        <x:v>ND</x:v>
      </x:c>
      <x:c r="H10" s="19" t="str"/>
      <x:c r="I10" s="19" t="str"/>
      <x:c r="J10" s="19" t="str"/>
      <x:c r="K10" s="19" t="str"/>
      <x:c r="L10" s="19" t="str"/>
      <x:c r="M10" s="19" t="str"/>
      <x:c r="N10" s="22" t="str">
        <x:f>IF(OR(E10="",F10="",LEN(H10)&lt;8,LEN(I10)&lt;&gt;10,LEN(J10)&lt;&gt;10,LEN(K10)&lt;6,LEN(L10)&lt;3,LEN(M10)&lt;&gt;10),"INCONNU",IF(AND(G10=0,I10&lt;=J10,J10&lt;='LIRE_D_ABORD'!$C$15,J10&lt;='LIRE_D_ABORD'!$K$10,M10&lt;='LIRE_D_ABORD'!$C$15,M10&lt;='LIRE_D_ABORD'!$K$10),"RESOLU","STOP"))</x:f>
        <x:v>INCONNU</x:v>
      </x:c>
    </x:row>
    <x:row r="11" ht="62" customHeight="1">
      <x:c r="B11" s="16" t="str">
        <x:v>restore-06</x:v>
      </x:c>
      <x:c r="C11" s="16" t="str">
        <x:v>Configuration</x:v>
      </x:c>
      <x:c r="D11" s="16" t="str">
        <x:v>Variables référencées, jamais les secrets</x:v>
      </x:c>
      <x:c r="E11" s="19" t="str"/>
      <x:c r="F11" s="19" t="str"/>
      <x:c r="G11" s="22" t="str">
        <x:f>IF(OR(E11="",F11=""),"ND",F11-E11)</x:f>
        <x:v>ND</x:v>
      </x:c>
      <x:c r="H11" s="19" t="str"/>
      <x:c r="I11" s="19" t="str"/>
      <x:c r="J11" s="19" t="str"/>
      <x:c r="K11" s="19" t="str"/>
      <x:c r="L11" s="19" t="str"/>
      <x:c r="M11" s="19" t="str"/>
      <x:c r="N11" s="22" t="str">
        <x:f>IF(OR(E11="",F11="",LEN(H11)&lt;8,LEN(I11)&lt;&gt;10,LEN(J11)&lt;&gt;10,LEN(K11)&lt;6,LEN(L11)&lt;3,LEN(M11)&lt;&gt;10),"INCONNU",IF(AND(G11=0,I11&lt;=J11,J11&lt;='LIRE_D_ABORD'!$C$15,J11&lt;='LIRE_D_ABORD'!$K$10,M11&lt;='LIRE_D_ABORD'!$C$15,M11&lt;='LIRE_D_ABORD'!$K$10),"RESOLU","STOP"))</x:f>
        <x:v>INCONNU</x:v>
      </x:c>
    </x:row>
    <x:row r="12" ht="62" customHeight="1">
      <x:c r="B12" s="16" t="str">
        <x:v>restore-07</x:v>
      </x:c>
      <x:c r="C12" s="16" t="str">
        <x:v>Audit</x:v>
      </x:c>
      <x:c r="D12" s="16" t="str">
        <x:v>Journaux et preuves de réconciliation</x:v>
      </x:c>
      <x:c r="E12" s="19" t="str"/>
      <x:c r="F12" s="19" t="str"/>
      <x:c r="G12" s="22" t="str">
        <x:f>IF(OR(E12="",F12=""),"ND",F12-E12)</x:f>
        <x:v>ND</x:v>
      </x:c>
      <x:c r="H12" s="19" t="str"/>
      <x:c r="I12" s="19" t="str"/>
      <x:c r="J12" s="19" t="str"/>
      <x:c r="K12" s="19" t="str"/>
      <x:c r="L12" s="19" t="str"/>
      <x:c r="M12" s="19" t="str"/>
      <x:c r="N12" s="22" t="str">
        <x:f>IF(OR(E12="",F12="",LEN(H12)&lt;8,LEN(I12)&lt;&gt;10,LEN(J12)&lt;&gt;10,LEN(K12)&lt;6,LEN(L12)&lt;3,LEN(M12)&lt;&gt;10),"INCONNU",IF(AND(G12=0,I12&lt;=J12,J12&lt;='LIRE_D_ABORD'!$C$15,J12&lt;='LIRE_D_ABORD'!$K$10,M12&lt;='LIRE_D_ABORD'!$C$15,M12&lt;='LIRE_D_ABORD'!$K$10),"RESOLU","STOP"))</x:f>
        <x:v>INCONNU</x:v>
      </x:c>
    </x:row>
    <x:row r="13" ht="62" customHeight="1">
      <x:c r="B13" s="17" t="str">
        <x:v>restore-08</x:v>
      </x:c>
      <x:c r="C13" s="17" t="str">
        <x:v>Reprise</x:v>
      </x:c>
      <x:c r="D13" s="17" t="str">
        <x:v>Test applicatif sur copie isolée</x:v>
      </x:c>
      <x:c r="E13" s="20" t="str"/>
      <x:c r="F13" s="20" t="str"/>
      <x:c r="G13" s="23" t="str">
        <x:f>IF(OR(E13="",F13=""),"ND",F13-E13)</x:f>
        <x:v>ND</x:v>
      </x:c>
      <x:c r="H13" s="20" t="str"/>
      <x:c r="I13" s="20" t="str"/>
      <x:c r="J13" s="20" t="str"/>
      <x:c r="K13" s="20" t="str"/>
      <x:c r="L13" s="20" t="str"/>
      <x:c r="M13" s="20" t="str"/>
      <x:c r="N13" s="23" t="str">
        <x:f>IF(OR(E13="",F13="",LEN(H13)&lt;8,LEN(I13)&lt;&gt;10,LEN(J13)&lt;&gt;10,LEN(K13)&lt;6,LEN(L13)&lt;3,LEN(M13)&lt;&gt;10),"INCONNU",IF(AND(G13=0,I13&lt;=J13,J13&lt;='LIRE_D_ABORD'!$C$15,J13&lt;='LIRE_D_ABORD'!$K$10,M13&lt;='LIRE_D_ABORD'!$C$15,M13&lt;='LIRE_D_ABORD'!$K$10),"RESOLU","STOP"))</x:f>
        <x:v>INCONNU</x:v>
      </x:c>
    </x:row>
  </x:sheetData>
  <x:mergeCells>
    <x:mergeCell ref="A1:N2"/>
    <x:mergeCell ref="A3:N3"/>
  </x:mergeCells>
  <x:conditionalFormatting sqref="N6:N13">
    <x:cfRule type="containsText" dxfId="24" priority="1" operator="containsText" text="STOP"/>
    <x:cfRule type="containsText" dxfId="25" priority="2" operator="containsText" text="INCONNU"/>
    <x:cfRule type="containsText" dxfId="26" priority="3" operator="containsText" text="INVALIDE"/>
    <x:cfRule type="containsText" dxfId="27" priority="4" operator="containsText" text="PASS"/>
    <x:cfRule type="containsText" dxfId="28" priority="5" operator="containsText" text="RESOLU"/>
    <x:cfRule type="containsText" dxfId="29" priority="6" operator="containsText" text="VALIDE"/>
  </x:conditionalFormatting>
  <x:dataValidations count="1">
    <x:dataValidation type="whole" operator="between" sqref="E6:F13">
      <x:formula1>0</x:formula1>
      <x:formula2>10000000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70b1454389c49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RTO RPO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Objectifs et mesures de continuité par parcours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Parcours</x:v>
      </x:c>
      <x:c r="D5" s="11" t="str">
        <x:v>RTO cible (h)</x:v>
      </x:c>
      <x:c r="E5" s="11" t="str">
        <x:v>RTO mesuré (h)</x:v>
      </x:c>
      <x:c r="F5" s="11" t="str">
        <x:v>RPO cible (h)</x:v>
      </x:c>
      <x:c r="G5" s="11" t="str">
        <x:v>RPO mesuré (h)</x:v>
      </x:c>
      <x:c r="H5" s="11" t="str">
        <x:v>Scénario testé</x:v>
      </x:c>
      <x:c r="I5" s="11" t="str">
        <x:v>Date ISO</x:v>
      </x:c>
      <x:c r="J5" s="11" t="str">
        <x:v>Réf preuve</x:v>
      </x:c>
      <x:c r="K5" s="11" t="str">
        <x:v>Propriétaire</x:v>
      </x:c>
      <x:c r="L5" s="11" t="str">
        <x:v>Approbateur</x:v>
      </x:c>
      <x:c r="M5" s="11" t="str">
        <x:v>Résultat</x:v>
      </x:c>
    </x:row>
    <x:row r="6" ht="58" customHeight="1">
      <x:c r="B6" s="16" t="str">
        <x:v>continuite-01</x:v>
      </x:c>
      <x:c r="C6" s="16" t="str">
        <x:v>Connexion / récupération de compte</x:v>
      </x:c>
      <x:c r="D6" s="16" t="n">
        <x:v>4</x:v>
      </x:c>
      <x:c r="E6" s="16" t="n">
        <x:v>1</x:v>
      </x:c>
      <x:c r="F6" s="19" t="str"/>
      <x:c r="G6" s="19" t="str"/>
      <x:c r="H6" s="19" t="str"/>
      <x:c r="I6" s="19" t="str"/>
      <x:c r="J6" s="19" t="str"/>
      <x:c r="K6" s="19" t="str"/>
      <x:c r="L6" s="19" t="str"/>
      <x:c r="M6" s="22" t="str">
        <x:f>IF(OR(F6="",G6="",LEN(H6)&lt;8,LEN(I6)&lt;&gt;10,LEN(J6)&lt;6,LEN(K6)&lt;3,LEN(L6)&lt;3),"INCONNU",IF(AND(F6&lt;=D6,G6&lt;=E6,I6&lt;='LIRE_D_ABORD'!$C$15,I6&lt;='LIRE_D_ABORD'!$K$10),"RESOLU","STOP"))</x:f>
        <x:v>INCONNU</x:v>
      </x:c>
    </x:row>
    <x:row r="7" ht="58" customHeight="1">
      <x:c r="B7" s="16" t="str">
        <x:v>continuite-02</x:v>
      </x:c>
      <x:c r="C7" s="16" t="str">
        <x:v>Création et mise à jour métier</x:v>
      </x:c>
      <x:c r="D7" s="16" t="n">
        <x:v>4</x:v>
      </x:c>
      <x:c r="E7" s="16" t="n">
        <x:v>1</x:v>
      </x:c>
      <x:c r="F7" s="19" t="str"/>
      <x:c r="G7" s="19" t="str"/>
      <x:c r="H7" s="19" t="str"/>
      <x:c r="I7" s="19" t="str"/>
      <x:c r="J7" s="19" t="str"/>
      <x:c r="K7" s="19" t="str"/>
      <x:c r="L7" s="19" t="str"/>
      <x:c r="M7" s="22" t="str">
        <x:f>IF(OR(F7="",G7="",LEN(H7)&lt;8,LEN(I7)&lt;&gt;10,LEN(J7)&lt;6,LEN(K7)&lt;3,LEN(L7)&lt;3),"INCONNU",IF(AND(F7&lt;=D7,G7&lt;=E7,I7&lt;='LIRE_D_ABORD'!$C$15,I7&lt;='LIRE_D_ABORD'!$K$10),"RESOLU","STOP"))</x:f>
        <x:v>INCONNU</x:v>
      </x:c>
    </x:row>
    <x:row r="8" ht="58" customHeight="1">
      <x:c r="B8" s="16" t="str">
        <x:v>continuite-03</x:v>
      </x:c>
      <x:c r="C8" s="16" t="str">
        <x:v>Paiement / facturation / webhook</x:v>
      </x:c>
      <x:c r="D8" s="16" t="n">
        <x:v>2</x:v>
      </x:c>
      <x:c r="E8" s="16" t="n">
        <x:v>0.25</x:v>
      </x:c>
      <x:c r="F8" s="19" t="str"/>
      <x:c r="G8" s="19" t="str"/>
      <x:c r="H8" s="19" t="str"/>
      <x:c r="I8" s="19" t="str"/>
      <x:c r="J8" s="19" t="str"/>
      <x:c r="K8" s="19" t="str"/>
      <x:c r="L8" s="19" t="str"/>
      <x:c r="M8" s="22" t="str">
        <x:f>IF(OR(F8="",G8="",LEN(H8)&lt;8,LEN(I8)&lt;&gt;10,LEN(J8)&lt;6,LEN(K8)&lt;3,LEN(L8)&lt;3),"INCONNU",IF(AND(F8&lt;=D8,G8&lt;=E8,I8&lt;='LIRE_D_ABORD'!$C$15,I8&lt;='LIRE_D_ABORD'!$K$10),"RESOLU","STOP"))</x:f>
        <x:v>INCONNU</x:v>
      </x:c>
    </x:row>
    <x:row r="9" ht="58" customHeight="1">
      <x:c r="B9" s="16" t="str">
        <x:v>continuite-04</x:v>
      </x:c>
      <x:c r="C9" s="16" t="str">
        <x:v>Exports, reporting et rapprochement</x:v>
      </x:c>
      <x:c r="D9" s="16" t="n">
        <x:v>24</x:v>
      </x:c>
      <x:c r="E9" s="16" t="n">
        <x:v>4</x:v>
      </x:c>
      <x:c r="F9" s="19" t="str"/>
      <x:c r="G9" s="19" t="str"/>
      <x:c r="H9" s="19" t="str"/>
      <x:c r="I9" s="19" t="str"/>
      <x:c r="J9" s="19" t="str"/>
      <x:c r="K9" s="19" t="str"/>
      <x:c r="L9" s="19" t="str"/>
      <x:c r="M9" s="22" t="str">
        <x:f>IF(OR(F9="",G9="",LEN(H9)&lt;8,LEN(I9)&lt;&gt;10,LEN(J9)&lt;6,LEN(K9)&lt;3,LEN(L9)&lt;3),"INCONNU",IF(AND(F9&lt;=D9,G9&lt;=E9,I9&lt;='LIRE_D_ABORD'!$C$15,I9&lt;='LIRE_D_ABORD'!$K$10),"RESOLU","STOP"))</x:f>
        <x:v>INCONNU</x:v>
      </x:c>
    </x:row>
    <x:row r="10" ht="58" customHeight="1">
      <x:c r="B10" s="17" t="str">
        <x:v>continuite-05</x:v>
      </x:c>
      <x:c r="C10" s="17" t="str">
        <x:v>Administration et support</x:v>
      </x:c>
      <x:c r="D10" s="17" t="n">
        <x:v>8</x:v>
      </x:c>
      <x:c r="E10" s="17" t="n">
        <x:v>4</x:v>
      </x:c>
      <x:c r="F10" s="20" t="str"/>
      <x:c r="G10" s="20" t="str"/>
      <x:c r="H10" s="20" t="str"/>
      <x:c r="I10" s="20" t="str"/>
      <x:c r="J10" s="20" t="str"/>
      <x:c r="K10" s="20" t="str"/>
      <x:c r="L10" s="20" t="str"/>
      <x:c r="M10" s="23" t="str">
        <x:f>IF(OR(F10="",G10="",LEN(H10)&lt;8,LEN(I10)&lt;&gt;10,LEN(J10)&lt;6,LEN(K10)&lt;3,LEN(L10)&lt;3),"INCONNU",IF(AND(F10&lt;=D10,G10&lt;=E10,I10&lt;='LIRE_D_ABORD'!$C$15,I10&lt;='LIRE_D_ABORD'!$K$10),"RESOLU","STOP"))</x:f>
        <x:v>INCONNU</x:v>
      </x:c>
    </x:row>
  </x:sheetData>
  <x:mergeCells>
    <x:mergeCell ref="A1:N2"/>
    <x:mergeCell ref="A3:N3"/>
  </x:mergeCells>
  <x:conditionalFormatting sqref="M6:M10">
    <x:cfRule type="containsText" dxfId="30" priority="1" operator="containsText" text="STOP"/>
    <x:cfRule type="containsText" dxfId="31" priority="2" operator="containsText" text="INCONNU"/>
    <x:cfRule type="containsText" dxfId="32" priority="3" operator="containsText" text="INVALIDE"/>
    <x:cfRule type="containsText" dxfId="33" priority="4" operator="containsText" text="PASS"/>
    <x:cfRule type="containsText" dxfId="34" priority="5" operator="containsText" text="RESOLU"/>
    <x:cfRule type="containsText" dxfId="35" priority="6" operator="containsText" text="VALIDE"/>
  </x:conditionalFormatting>
  <x:dataValidations count="1">
    <x:dataValidation type="decimal" operator="between" sqref="F6:G10">
      <x:formula1>0</x:formula1>
      <x:formula2>1000000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87e91de473345d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ACCES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Rôles, ressources, actions, tenants, secrets et sessions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Ressource</x:v>
      </x:c>
      <x:c r="D5" s="11" t="str">
        <x:v>Action attendue</x:v>
      </x:c>
      <x:c r="E5" s="11" t="str">
        <x:v>Compte entreprise</x:v>
      </x:c>
      <x:c r="F5" s="11" t="str">
        <x:v>Rôle attendu</x:v>
      </x:c>
      <x:c r="G5" s="11" t="str">
        <x:v>Rôle observé</x:v>
      </x:c>
      <x:c r="H5" s="11" t="str">
        <x:v>Tenant / environnement</x:v>
      </x:c>
      <x:c r="I5" s="11" t="str">
        <x:v>Réf secret (jamais valeur)</x:v>
      </x:c>
      <x:c r="J5" s="11" t="str">
        <x:v>Test de récupération</x:v>
      </x:c>
      <x:c r="K5" s="11" t="str">
        <x:v>Preuve</x:v>
      </x:c>
      <x:c r="L5" s="11" t="str">
        <x:v>Date ISO</x:v>
      </x:c>
      <x:c r="M5" s="11" t="str">
        <x:v>Propriétaire</x:v>
      </x:c>
      <x:c r="N5" s="11" t="str">
        <x:v>Résultat</x:v>
      </x:c>
    </x:row>
    <x:row r="6" ht="62" customHeight="1">
      <x:c r="B6" s="16" t="str">
        <x:v>access-01</x:v>
      </x:c>
      <x:c r="C6" s="16" t="str">
        <x:v>Organisation Git</x:v>
      </x:c>
      <x:c r="D6" s="16" t="str">
        <x:v>Administrer dépôt, équipes et protections</x:v>
      </x:c>
      <x:c r="E6" s="19" t="str"/>
      <x:c r="F6" s="19" t="str"/>
      <x:c r="G6" s="19" t="str"/>
      <x:c r="H6" s="19" t="str"/>
      <x:c r="I6" s="19" t="str"/>
      <x:c r="J6" s="19" t="str"/>
      <x:c r="K6" s="19" t="str"/>
      <x:c r="L6" s="19" t="str"/>
      <x:c r="M6" s="19" t="str"/>
      <x:c r="N6" s="22" t="str">
        <x:f>IF(OR(LEN(E6)&lt;3,LEN(F6)&lt;3,LEN(G6)&lt;3,LEN(H6)&lt;3,LEN(I6)&lt;6,LEN(J6)&lt;3,LEN(K6)&lt;6,LEN(L6)&lt;&gt;10,LEN(M6)&lt;3),"INCONNU",IF(AND(F6=G6,L6&lt;='LIRE_D_ABORD'!$C$15,L6&lt;='LIRE_D_ABORD'!$K$10),"RESOLU","STOP"))</x:f>
        <x:v>INCONNU</x:v>
      </x:c>
    </x:row>
    <x:row r="7" ht="62" customHeight="1">
      <x:c r="B7" s="16" t="str">
        <x:v>access-02</x:v>
      </x:c>
      <x:c r="C7" s="16" t="str">
        <x:v>Build / registry</x:v>
      </x:c>
      <x:c r="D7" s="16" t="str">
        <x:v>Construire, signer et promouvoir l’artefact</x:v>
      </x:c>
      <x:c r="E7" s="19" t="str"/>
      <x:c r="F7" s="19" t="str"/>
      <x:c r="G7" s="19" t="str"/>
      <x:c r="H7" s="19" t="str"/>
      <x:c r="I7" s="19" t="str"/>
      <x:c r="J7" s="19" t="str"/>
      <x:c r="K7" s="19" t="str"/>
      <x:c r="L7" s="19" t="str"/>
      <x:c r="M7" s="19" t="str"/>
      <x:c r="N7" s="22" t="str">
        <x:f>IF(OR(LEN(E7)&lt;3,LEN(F7)&lt;3,LEN(G7)&lt;3,LEN(H7)&lt;3,LEN(I7)&lt;6,LEN(J7)&lt;3,LEN(K7)&lt;6,LEN(L7)&lt;&gt;10,LEN(M7)&lt;3),"INCONNU",IF(AND(F7=G7,L7&lt;='LIRE_D_ABORD'!$C$15,L7&lt;='LIRE_D_ABORD'!$K$10),"RESOLU","STOP"))</x:f>
        <x:v>INCONNU</x:v>
      </x:c>
    </x:row>
    <x:row r="8" ht="62" customHeight="1">
      <x:c r="B8" s="16" t="str">
        <x:v>access-03</x:v>
      </x:c>
      <x:c r="C8" s="16" t="str">
        <x:v>Cloud production</x:v>
      </x:c>
      <x:c r="D8" s="16" t="str">
        <x:v>Déployer, rollback et consulter l’audit</x:v>
      </x:c>
      <x:c r="E8" s="19" t="str"/>
      <x:c r="F8" s="19" t="str"/>
      <x:c r="G8" s="19" t="str"/>
      <x:c r="H8" s="19" t="str"/>
      <x:c r="I8" s="19" t="str"/>
      <x:c r="J8" s="19" t="str"/>
      <x:c r="K8" s="19" t="str"/>
      <x:c r="L8" s="19" t="str"/>
      <x:c r="M8" s="19" t="str"/>
      <x:c r="N8" s="22" t="str">
        <x:f>IF(OR(LEN(E8)&lt;3,LEN(F8)&lt;3,LEN(G8)&lt;3,LEN(H8)&lt;3,LEN(I8)&lt;6,LEN(J8)&lt;3,LEN(K8)&lt;6,LEN(L8)&lt;&gt;10,LEN(M8)&lt;3),"INCONNU",IF(AND(F8=G8,L8&lt;='LIRE_D_ABORD'!$C$15,L8&lt;='LIRE_D_ABORD'!$K$10),"RESOLU","STOP"))</x:f>
        <x:v>INCONNU</x:v>
      </x:c>
    </x:row>
    <x:row r="9" ht="62" customHeight="1">
      <x:c r="B9" s="16" t="str">
        <x:v>access-04</x:v>
      </x:c>
      <x:c r="C9" s="16" t="str">
        <x:v>Base / stockage</x:v>
      </x:c>
      <x:c r="D9" s="16" t="str">
        <x:v>Lire, écrire, restaurer et auditer</x:v>
      </x:c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19" t="str"/>
      <x:c r="N9" s="22" t="str">
        <x:f>IF(OR(LEN(E9)&lt;3,LEN(F9)&lt;3,LEN(G9)&lt;3,LEN(H9)&lt;3,LEN(I9)&lt;6,LEN(J9)&lt;3,LEN(K9)&lt;6,LEN(L9)&lt;&gt;10,LEN(M9)&lt;3),"INCONNU",IF(AND(F9=G9,L9&lt;='LIRE_D_ABORD'!$C$15,L9&lt;='LIRE_D_ABORD'!$K$10),"RESOLU","STOP"))</x:f>
        <x:v>INCONNU</x:v>
      </x:c>
    </x:row>
    <x:row r="10" ht="62" customHeight="1">
      <x:c r="B10" s="16" t="str">
        <x:v>access-05</x:v>
      </x:c>
      <x:c r="C10" s="16" t="str">
        <x:v>DNS / domaines</x:v>
      </x:c>
      <x:c r="D10" s="16" t="str">
        <x:v>Modifier puis récupérer le compte</x:v>
      </x:c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19" t="str"/>
      <x:c r="N10" s="22" t="str">
        <x:f>IF(OR(LEN(E10)&lt;3,LEN(F10)&lt;3,LEN(G10)&lt;3,LEN(H10)&lt;3,LEN(I10)&lt;6,LEN(J10)&lt;3,LEN(K10)&lt;6,LEN(L10)&lt;&gt;10,LEN(M10)&lt;3),"INCONNU",IF(AND(F10=G10,L10&lt;='LIRE_D_ABORD'!$C$15,L10&lt;='LIRE_D_ABORD'!$K$10),"RESOLU","STOP"))</x:f>
        <x:v>INCONNU</x:v>
      </x:c>
    </x:row>
    <x:row r="11" ht="62" customHeight="1">
      <x:c r="B11" s="16" t="str">
        <x:v>access-06</x:v>
      </x:c>
      <x:c r="C11" s="16" t="str">
        <x:v>Paiement / e-mail</x:v>
      </x:c>
      <x:c r="D11" s="16" t="str">
        <x:v>Opérer, rapprocher et révoquer</x:v>
      </x:c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19" t="str"/>
      <x:c r="N11" s="22" t="str">
        <x:f>IF(OR(LEN(E11)&lt;3,LEN(F11)&lt;3,LEN(G11)&lt;3,LEN(H11)&lt;3,LEN(I11)&lt;6,LEN(J11)&lt;3,LEN(K11)&lt;6,LEN(L11)&lt;&gt;10,LEN(M11)&lt;3),"INCONNU",IF(AND(F11=G11,L11&lt;='LIRE_D_ABORD'!$C$15,L11&lt;='LIRE_D_ABORD'!$K$10),"RESOLU","STOP"))</x:f>
        <x:v>INCONNU</x:v>
      </x:c>
    </x:row>
    <x:row r="12" ht="62" customHeight="1">
      <x:c r="B12" s="16" t="str">
        <x:v>access-07</x:v>
      </x:c>
      <x:c r="C12" s="16" t="str">
        <x:v>Observabilité</x:v>
      </x:c>
      <x:c r="D12" s="16" t="str">
        <x:v>Lire métriques, logs, traces et alertes</x:v>
      </x:c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19" t="str"/>
      <x:c r="N12" s="22" t="str">
        <x:f>IF(OR(LEN(E12)&lt;3,LEN(F12)&lt;3,LEN(G12)&lt;3,LEN(H12)&lt;3,LEN(I12)&lt;6,LEN(J12)&lt;3,LEN(K12)&lt;6,LEN(L12)&lt;&gt;10,LEN(M12)&lt;3),"INCONNU",IF(AND(F12=G12,L12&lt;='LIRE_D_ABORD'!$C$15,L12&lt;='LIRE_D_ABORD'!$K$10),"RESOLU","STOP"))</x:f>
        <x:v>INCONNU</x:v>
      </x:c>
    </x:row>
    <x:row r="13" ht="62" customHeight="1">
      <x:c r="B13" s="17" t="str">
        <x:v>access-08</x:v>
      </x:c>
      <x:c r="C13" s="17" t="str">
        <x:v>Secrets / sessions</x:v>
      </x:c>
      <x:c r="D13" s="17" t="str">
        <x:v>Référencer, faire tourner et révoquer</x:v>
      </x:c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  <x:c r="M13" s="20" t="str"/>
      <x:c r="N13" s="23" t="str">
        <x:f>IF(OR(LEN(E13)&lt;3,LEN(F13)&lt;3,LEN(G13)&lt;3,LEN(H13)&lt;3,LEN(I13)&lt;6,LEN(J13)&lt;3,LEN(K13)&lt;6,LEN(L13)&lt;&gt;10,LEN(M13)&lt;3),"INCONNU",IF(AND(F13=G13,L13&lt;='LIRE_D_ABORD'!$C$15,L13&lt;='LIRE_D_ABORD'!$K$10),"RESOLU","STOP"))</x:f>
        <x:v>INCONNU</x:v>
      </x:c>
    </x:row>
  </x:sheetData>
  <x:mergeCells>
    <x:mergeCell ref="A1:N2"/>
    <x:mergeCell ref="A3:N3"/>
  </x:mergeCells>
  <x:conditionalFormatting sqref="N6:N13">
    <x:cfRule type="containsText" dxfId="36" priority="1" operator="containsText" text="STOP"/>
    <x:cfRule type="containsText" dxfId="37" priority="2" operator="containsText" text="INCONNU"/>
    <x:cfRule type="containsText" dxfId="38" priority="3" operator="containsText" text="INVALIDE"/>
    <x:cfRule type="containsText" dxfId="39" priority="4" operator="containsText" text="PASS"/>
    <x:cfRule type="containsText" dxfId="40" priority="5" operator="containsText" text="RESOLU"/>
    <x:cfRule type="containsText" dxfId="41" priority="6" operator="containsText" text="VALIDE"/>
  </x:conditionalFormatting>
  <x:pageMargins left="0.7" right="0.7" top="0.75" bottom="0.75" header="0.3" footer="0.3"/>
  <x:tableParts count="1">
    <x:tablePart xmlns:r="http://schemas.openxmlformats.org/officeDocument/2006/relationships" r:id="Rc9964de080a8446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PARCOURS METIER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Idempotence, doublons, retries et rapprochements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Parcours</x:v>
      </x:c>
      <x:c r="D5" s="11" t="str">
        <x:v>Invariant attendu</x:v>
      </x:c>
      <x:c r="E5" s="11" t="str">
        <x:v>Précondition</x:v>
      </x:c>
      <x:c r="F5" s="11" t="str">
        <x:v>Jeu de données</x:v>
      </x:c>
      <x:c r="G5" s="11" t="str">
        <x:v>Action</x:v>
      </x:c>
      <x:c r="H5" s="11" t="str">
        <x:v>Résultat observé</x:v>
      </x:c>
      <x:c r="I5" s="11" t="str">
        <x:v>Réconciliation</x:v>
      </x:c>
      <x:c r="J5" s="11" t="str">
        <x:v>Preuve</x:v>
      </x:c>
      <x:c r="K5" s="11" t="str">
        <x:v>Date ISO</x:v>
      </x:c>
      <x:c r="L5" s="11" t="str">
        <x:v>Propriétaire</x:v>
      </x:c>
      <x:c r="M5" s="11" t="str">
        <x:v>Résultat</x:v>
      </x:c>
    </x:row>
    <x:row r="6" ht="66" customHeight="1">
      <x:c r="B6" s="16" t="str">
        <x:v>metier-01</x:v>
      </x:c>
      <x:c r="C6" s="16" t="str">
        <x:v>Authentification</x:v>
      </x:c>
      <x:c r="D6" s="16" t="str">
        <x:v>Connexion, déconnexion et récupération</x:v>
      </x:c>
      <x:c r="E6" s="19" t="str"/>
      <x:c r="F6" s="19" t="str"/>
      <x:c r="G6" s="19" t="str"/>
      <x:c r="H6" s="19" t="str"/>
      <x:c r="I6" s="19" t="str"/>
      <x:c r="J6" s="19" t="str"/>
      <x:c r="K6" s="19" t="str"/>
      <x:c r="L6" s="19" t="str"/>
      <x:c r="M6" s="22" t="str">
        <x:f>IF(COUNTBLANK(E6:L6)&gt;0,"INCONNU",IF(AND(LEN(H6)&gt;=3,LEN(I6)&gt;=3,LEN(J6)&gt;=6,LEN(K6)=10,K6&lt;='LIRE_D_ABORD'!$C$15,K6&lt;='LIRE_D_ABORD'!$K$10,LEN(L6)&gt;=3),"RESOLU","STOP"))</x:f>
        <x:v>INCONNU</x:v>
      </x:c>
    </x:row>
    <x:row r="7" ht="66" customHeight="1">
      <x:c r="B7" s="16" t="str">
        <x:v>metier-02</x:v>
      </x:c>
      <x:c r="C7" s="16" t="str">
        <x:v>Autorisation</x:v>
      </x:c>
      <x:c r="D7" s="16" t="str">
        <x:v>Rôle, ressource, action et tenant</x:v>
      </x:c>
      <x:c r="E7" s="19" t="str"/>
      <x:c r="F7" s="19" t="str"/>
      <x:c r="G7" s="19" t="str"/>
      <x:c r="H7" s="19" t="str"/>
      <x:c r="I7" s="19" t="str"/>
      <x:c r="J7" s="19" t="str"/>
      <x:c r="K7" s="19" t="str"/>
      <x:c r="L7" s="19" t="str"/>
      <x:c r="M7" s="22" t="str">
        <x:f>IF(COUNTBLANK(E7:L7)&gt;0,"INCONNU",IF(AND(LEN(H7)&gt;=3,LEN(I7)&gt;=3,LEN(J7)&gt;=6,LEN(K7)=10,K7&lt;='LIRE_D_ABORD'!$C$15,K7&lt;='LIRE_D_ABORD'!$K$10,LEN(L7)&gt;=3),"RESOLU","STOP"))</x:f>
        <x:v>INCONNU</x:v>
      </x:c>
    </x:row>
    <x:row r="8" ht="66" customHeight="1">
      <x:c r="B8" s="16" t="str">
        <x:v>metier-03</x:v>
      </x:c>
      <x:c r="C8" s="16" t="str">
        <x:v>Création</x:v>
      </x:c>
      <x:c r="D8" s="16" t="str">
        <x:v>Une commande produit une seule écriture</x:v>
      </x:c>
      <x:c r="E8" s="19" t="str"/>
      <x:c r="F8" s="19" t="str"/>
      <x:c r="G8" s="19" t="str"/>
      <x:c r="H8" s="19" t="str"/>
      <x:c r="I8" s="19" t="str"/>
      <x:c r="J8" s="19" t="str"/>
      <x:c r="K8" s="19" t="str"/>
      <x:c r="L8" s="19" t="str"/>
      <x:c r="M8" s="22" t="str">
        <x:f>IF(COUNTBLANK(E8:L8)&gt;0,"INCONNU",IF(AND(LEN(H8)&gt;=3,LEN(I8)&gt;=3,LEN(J8)&gt;=6,LEN(K8)=10,K8&lt;='LIRE_D_ABORD'!$C$15,K8&lt;='LIRE_D_ABORD'!$K$10,LEN(L8)&gt;=3),"RESOLU","STOP"))</x:f>
        <x:v>INCONNU</x:v>
      </x:c>
    </x:row>
    <x:row r="9" ht="66" customHeight="1">
      <x:c r="B9" s="16" t="str">
        <x:v>metier-04</x:v>
      </x:c>
      <x:c r="C9" s="16" t="str">
        <x:v>Paiement</x:v>
      </x:c>
      <x:c r="D9" s="16" t="str">
        <x:v>Succès, échec, remboursement et rapprochement</x:v>
      </x:c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22" t="str">
        <x:f>IF(COUNTBLANK(E9:L9)&gt;0,"INCONNU",IF(AND(LEN(H9)&gt;=3,LEN(I9)&gt;=3,LEN(J9)&gt;=6,LEN(K9)=10,K9&lt;='LIRE_D_ABORD'!$C$15,K9&lt;='LIRE_D_ABORD'!$K$10,LEN(L9)&gt;=3),"RESOLU","STOP"))</x:f>
        <x:v>INCONNU</x:v>
      </x:c>
    </x:row>
    <x:row r="10" ht="66" customHeight="1">
      <x:c r="B10" s="16" t="str">
        <x:v>metier-05</x:v>
      </x:c>
      <x:c r="C10" s="16" t="str">
        <x:v>Webhook</x:v>
      </x:c>
      <x:c r="D10" s="16" t="str">
        <x:v>Signature, ordre, doublon et rejeu</x:v>
      </x:c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22" t="str">
        <x:f>IF(COUNTBLANK(E10:L10)&gt;0,"INCONNU",IF(AND(LEN(H10)&gt;=3,LEN(I10)&gt;=3,LEN(J10)&gt;=6,LEN(K10)=10,K10&lt;='LIRE_D_ABORD'!$C$15,K10&lt;='LIRE_D_ABORD'!$K$10,LEN(L10)&gt;=3),"RESOLU","STOP"))</x:f>
        <x:v>INCONNU</x:v>
      </x:c>
    </x:row>
    <x:row r="11" ht="66" customHeight="1">
      <x:c r="B11" s="16" t="str">
        <x:v>metier-06</x:v>
      </x:c>
      <x:c r="C11" s="16" t="str">
        <x:v>Retry</x:v>
      </x:c>
      <x:c r="D11" s="16" t="str">
        <x:v>Reprise sans double effet</x:v>
      </x:c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22" t="str">
        <x:f>IF(COUNTBLANK(E11:L11)&gt;0,"INCONNU",IF(AND(LEN(H11)&gt;=3,LEN(I11)&gt;=3,LEN(J11)&gt;=6,LEN(K11)=10,K11&lt;='LIRE_D_ABORD'!$C$15,K11&lt;='LIRE_D_ABORD'!$K$10,LEN(L11)&gt;=3),"RESOLU","STOP"))</x:f>
        <x:v>INCONNU</x:v>
      </x:c>
    </x:row>
    <x:row r="12" ht="66" customHeight="1">
      <x:c r="B12" s="16" t="str">
        <x:v>metier-07</x:v>
      </x:c>
      <x:c r="C12" s="16" t="str">
        <x:v>Concurrence</x:v>
      </x:c>
      <x:c r="D12" s="16" t="str">
        <x:v>Deux requêtes ne corrompent pas l’état</x:v>
      </x:c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22" t="str">
        <x:f>IF(COUNTBLANK(E12:L12)&gt;0,"INCONNU",IF(AND(LEN(H12)&gt;=3,LEN(I12)&gt;=3,LEN(J12)&gt;=6,LEN(K12)=10,K12&lt;='LIRE_D_ABORD'!$C$15,K12&lt;='LIRE_D_ABORD'!$K$10,LEN(L12)&gt;=3),"RESOLU","STOP"))</x:f>
        <x:v>INCONNU</x:v>
      </x:c>
    </x:row>
    <x:row r="13" ht="66" customHeight="1">
      <x:c r="B13" s="16" t="str">
        <x:v>metier-08</x:v>
      </x:c>
      <x:c r="C13" s="16" t="str">
        <x:v>Export</x:v>
      </x:c>
      <x:c r="D13" s="16" t="str">
        <x:v>Exactitude, périmètre et droit d’accès</x:v>
      </x:c>
      <x:c r="E13" s="19" t="str"/>
      <x:c r="F13" s="19" t="str"/>
      <x:c r="G13" s="19" t="str"/>
      <x:c r="H13" s="19" t="str"/>
      <x:c r="I13" s="19" t="str"/>
      <x:c r="J13" s="19" t="str"/>
      <x:c r="K13" s="19" t="str"/>
      <x:c r="L13" s="19" t="str"/>
      <x:c r="M13" s="22" t="str">
        <x:f>IF(COUNTBLANK(E13:L13)&gt;0,"INCONNU",IF(AND(LEN(H13)&gt;=3,LEN(I13)&gt;=3,LEN(J13)&gt;=6,LEN(K13)=10,K13&lt;='LIRE_D_ABORD'!$C$15,K13&lt;='LIRE_D_ABORD'!$K$10,LEN(L13)&gt;=3),"RESOLU","STOP"))</x:f>
        <x:v>INCONNU</x:v>
      </x:c>
    </x:row>
    <x:row r="14" ht="66" customHeight="1">
      <x:c r="B14" s="16" t="str">
        <x:v>metier-09</x:v>
      </x:c>
      <x:c r="C14" s="16" t="str">
        <x:v>Suppression</x:v>
      </x:c>
      <x:c r="D14" s="16" t="str">
        <x:v>Rétention, cascade et journal d’audit</x:v>
      </x:c>
      <x:c r="E14" s="19" t="str"/>
      <x:c r="F14" s="19" t="str"/>
      <x:c r="G14" s="19" t="str"/>
      <x:c r="H14" s="19" t="str"/>
      <x:c r="I14" s="19" t="str"/>
      <x:c r="J14" s="19" t="str"/>
      <x:c r="K14" s="19" t="str"/>
      <x:c r="L14" s="19" t="str"/>
      <x:c r="M14" s="22" t="str">
        <x:f>IF(COUNTBLANK(E14:L14)&gt;0,"INCONNU",IF(AND(LEN(H14)&gt;=3,LEN(I14)&gt;=3,LEN(J14)&gt;=6,LEN(K14)=10,K14&lt;='LIRE_D_ABORD'!$C$15,K14&lt;='LIRE_D_ABORD'!$K$10,LEN(L14)&gt;=3),"RESOLU","STOP"))</x:f>
        <x:v>INCONNU</x:v>
      </x:c>
    </x:row>
    <x:row r="15" ht="66" customHeight="1">
      <x:c r="B15" s="17" t="str">
        <x:v>metier-10</x:v>
      </x:c>
      <x:c r="C15" s="17" t="str">
        <x:v>Dégradation</x:v>
      </x:c>
      <x:c r="D15" s="17" t="str">
        <x:v>Quota, timeout et dépendance indisponible</x:v>
      </x:c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/>
      <x:c r="M15" s="23" t="str">
        <x:f>IF(COUNTBLANK(E15:L15)&gt;0,"INCONNU",IF(AND(LEN(H15)&gt;=3,LEN(I15)&gt;=3,LEN(J15)&gt;=6,LEN(K15)=10,K15&lt;='LIRE_D_ABORD'!$C$15,K15&lt;='LIRE_D_ABORD'!$K$10,LEN(L15)&gt;=3),"RESOLU","STOP"))</x:f>
        <x:v>INCONNU</x:v>
      </x:c>
    </x:row>
  </x:sheetData>
  <x:mergeCells>
    <x:mergeCell ref="A1:N2"/>
    <x:mergeCell ref="A3:N3"/>
  </x:mergeCells>
  <x:conditionalFormatting sqref="M6:M15">
    <x:cfRule type="containsText" dxfId="42" priority="1" operator="containsText" text="STOP"/>
    <x:cfRule type="containsText" dxfId="43" priority="2" operator="containsText" text="INCONNU"/>
    <x:cfRule type="containsText" dxfId="44" priority="3" operator="containsText" text="INVALIDE"/>
    <x:cfRule type="containsText" dxfId="45" priority="4" operator="containsText" text="PASS"/>
    <x:cfRule type="containsText" dxfId="46" priority="5" operator="containsText" text="RESOLU"/>
    <x:cfRule type="containsText" dxfId="47" priority="6" operator="containsText" text="VALIDE"/>
  </x:conditionalFormatting>
  <x:pageMargins left="0.7" right="0.7" top="0.75" bottom="0.75" header="0.3" footer="0.3"/>
  <x:tableParts count="1">
    <x:tablePart xmlns:r="http://schemas.openxmlformats.org/officeDocument/2006/relationships" r:id="Rc9c3483b7eda474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PRODUCTION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Logs, métriques, alertes, performance et incidents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Contrôle</x:v>
      </x:c>
      <x:c r="D5" s="11" t="str">
        <x:v>Attendu</x:v>
      </x:c>
      <x:c r="E5" s="11" t="str">
        <x:v>Environnement</x:v>
      </x:c>
      <x:c r="F5" s="11" t="str">
        <x:v>Seuil / SLO</x:v>
      </x:c>
      <x:c r="G5" s="11" t="str">
        <x:v>Mesure</x:v>
      </x:c>
      <x:c r="H5" s="11" t="str">
        <x:v>Fenêtre</x:v>
      </x:c>
      <x:c r="I5" s="11" t="str">
        <x:v>Alerte / runbook</x:v>
      </x:c>
      <x:c r="J5" s="11" t="str">
        <x:v>Preuve</x:v>
      </x:c>
      <x:c r="K5" s="11" t="str">
        <x:v>Date ISO</x:v>
      </x:c>
      <x:c r="L5" s="11" t="str">
        <x:v>Propriétaire</x:v>
      </x:c>
      <x:c r="M5" s="11" t="str">
        <x:v>Résultat</x:v>
      </x:c>
    </x:row>
    <x:row r="6" ht="62" customHeight="1">
      <x:c r="B6" s="16" t="str">
        <x:v>prod-01</x:v>
      </x:c>
      <x:c r="C6" s="16" t="str">
        <x:v>Logs</x:v>
      </x:c>
      <x:c r="D6" s="16" t="str">
        <x:v>Corrélation, erreurs et données sensibles</x:v>
      </x:c>
      <x:c r="E6" s="19" t="str"/>
      <x:c r="F6" s="19" t="str"/>
      <x:c r="G6" s="19" t="str"/>
      <x:c r="H6" s="19" t="str"/>
      <x:c r="I6" s="19" t="str"/>
      <x:c r="J6" s="19" t="str"/>
      <x:c r="K6" s="19" t="str"/>
      <x:c r="L6" s="19" t="str"/>
      <x:c r="M6" s="22" t="str">
        <x:f>IF(COUNTBLANK(E6:L6)&gt;0,"INCONNU",IF(AND(LEN(J6)&gt;=6,LEN(K6)=10,K6&lt;='LIRE_D_ABORD'!$C$15,K6&lt;='LIRE_D_ABORD'!$K$10,LEN(L6)&gt;=3),"RESOLU","STOP"))</x:f>
        <x:v>INCONNU</x:v>
      </x:c>
    </x:row>
    <x:row r="7" ht="62" customHeight="1">
      <x:c r="B7" s="16" t="str">
        <x:v>prod-02</x:v>
      </x:c>
      <x:c r="C7" s="16" t="str">
        <x:v>Métriques</x:v>
      </x:c>
      <x:c r="D7" s="16" t="str">
        <x:v>Latence, erreurs, saturation et métier</x:v>
      </x:c>
      <x:c r="E7" s="19" t="str"/>
      <x:c r="F7" s="19" t="str"/>
      <x:c r="G7" s="19" t="str"/>
      <x:c r="H7" s="19" t="str"/>
      <x:c r="I7" s="19" t="str"/>
      <x:c r="J7" s="19" t="str"/>
      <x:c r="K7" s="19" t="str"/>
      <x:c r="L7" s="19" t="str"/>
      <x:c r="M7" s="22" t="str">
        <x:f>IF(COUNTBLANK(E7:L7)&gt;0,"INCONNU",IF(AND(LEN(J7)&gt;=6,LEN(K7)=10,K7&lt;='LIRE_D_ABORD'!$C$15,K7&lt;='LIRE_D_ABORD'!$K$10,LEN(L7)&gt;=3),"RESOLU","STOP"))</x:f>
        <x:v>INCONNU</x:v>
      </x:c>
    </x:row>
    <x:row r="8" ht="62" customHeight="1">
      <x:c r="B8" s="16" t="str">
        <x:v>prod-03</x:v>
      </x:c>
      <x:c r="C8" s="16" t="str">
        <x:v>Traces</x:v>
      </x:c>
      <x:c r="D8" s="16" t="str">
        <x:v>Parcours critique de bout en bout</x:v>
      </x:c>
      <x:c r="E8" s="19" t="str"/>
      <x:c r="F8" s="19" t="str"/>
      <x:c r="G8" s="19" t="str"/>
      <x:c r="H8" s="19" t="str"/>
      <x:c r="I8" s="19" t="str"/>
      <x:c r="J8" s="19" t="str"/>
      <x:c r="K8" s="19" t="str"/>
      <x:c r="L8" s="19" t="str"/>
      <x:c r="M8" s="22" t="str">
        <x:f>IF(COUNTBLANK(E8:L8)&gt;0,"INCONNU",IF(AND(LEN(J8)&gt;=6,LEN(K8)=10,K8&lt;='LIRE_D_ABORD'!$C$15,K8&lt;='LIRE_D_ABORD'!$K$10,LEN(L8)&gt;=3),"RESOLU","STOP"))</x:f>
        <x:v>INCONNU</x:v>
      </x:c>
    </x:row>
    <x:row r="9" ht="62" customHeight="1">
      <x:c r="B9" s="16" t="str">
        <x:v>prod-04</x:v>
      </x:c>
      <x:c r="C9" s="16" t="str">
        <x:v>Alertes</x:v>
      </x:c>
      <x:c r="D9" s="16" t="str">
        <x:v>Seuil, fenêtre, routage et acquittement</x:v>
      </x:c>
      <x:c r="E9" s="19" t="str"/>
      <x:c r="F9" s="19" t="str"/>
      <x:c r="G9" s="19" t="str"/>
      <x:c r="H9" s="19" t="str"/>
      <x:c r="I9" s="19" t="str"/>
      <x:c r="J9" s="19" t="str"/>
      <x:c r="K9" s="19" t="str"/>
      <x:c r="L9" s="19" t="str"/>
      <x:c r="M9" s="22" t="str">
        <x:f>IF(COUNTBLANK(E9:L9)&gt;0,"INCONNU",IF(AND(LEN(J9)&gt;=6,LEN(K9)=10,K9&lt;='LIRE_D_ABORD'!$C$15,K9&lt;='LIRE_D_ABORD'!$K$10,LEN(L9)&gt;=3),"RESOLU","STOP"))</x:f>
        <x:v>INCONNU</x:v>
      </x:c>
    </x:row>
    <x:row r="10" ht="62" customHeight="1">
      <x:c r="B10" s="16" t="str">
        <x:v>prod-05</x:v>
      </x:c>
      <x:c r="C10" s="16" t="str">
        <x:v>Quotas</x:v>
      </x:c>
      <x:c r="D10" s="16" t="str">
        <x:v>Capacité, limite, consommation et action</x:v>
      </x:c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/>
      <x:c r="M10" s="22" t="str">
        <x:f>IF(COUNTBLANK(E10:L10)&gt;0,"INCONNU",IF(AND(LEN(J10)&gt;=6,LEN(K10)=10,K10&lt;='LIRE_D_ABORD'!$C$15,K10&lt;='LIRE_D_ABORD'!$K$10,LEN(L10)&gt;=3),"RESOLU","STOP"))</x:f>
        <x:v>INCONNU</x:v>
      </x:c>
    </x:row>
    <x:row r="11" ht="62" customHeight="1">
      <x:c r="B11" s="16" t="str">
        <x:v>prod-06</x:v>
      </x:c>
      <x:c r="C11" s="16" t="str">
        <x:v>Charge</x:v>
      </x:c>
      <x:c r="D11" s="16" t="str">
        <x:v>Test réaliste avec données représentatives</x:v>
      </x:c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/>
      <x:c r="M11" s="22" t="str">
        <x:f>IF(COUNTBLANK(E11:L11)&gt;0,"INCONNU",IF(AND(LEN(J11)&gt;=6,LEN(K11)=10,K11&lt;='LIRE_D_ABORD'!$C$15,K11&lt;='LIRE_D_ABORD'!$K$10,LEN(L11)&gt;=3),"RESOLU","STOP"))</x:f>
        <x:v>INCONNU</x:v>
      </x:c>
    </x:row>
    <x:row r="12" ht="62" customHeight="1">
      <x:c r="B12" s="16" t="str">
        <x:v>prod-07</x:v>
      </x:c>
      <x:c r="C12" s="16" t="str">
        <x:v>Incident</x:v>
      </x:c>
      <x:c r="D12" s="16" t="str">
        <x:v>Runbook, chronologie, postmortem et suivi</x:v>
      </x:c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/>
      <x:c r="M12" s="22" t="str">
        <x:f>IF(COUNTBLANK(E12:L12)&gt;0,"INCONNU",IF(AND(LEN(J12)&gt;=6,LEN(K12)=10,K12&lt;='LIRE_D_ABORD'!$C$15,K12&lt;='LIRE_D_ABORD'!$K$10,LEN(L12)&gt;=3),"RESOLU","STOP"))</x:f>
        <x:v>INCONNU</x:v>
      </x:c>
    </x:row>
    <x:row r="13" ht="62" customHeight="1">
      <x:c r="B13" s="17" t="str">
        <x:v>prod-08</x:v>
      </x:c>
      <x:c r="C13" s="17" t="str">
        <x:v>Support</x:v>
      </x:c>
      <x:c r="D13" s="17" t="str">
        <x:v>SLA, escalade, propriétaire et continuité</x:v>
      </x:c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  <x:c r="M13" s="23" t="str">
        <x:f>IF(COUNTBLANK(E13:L13)&gt;0,"INCONNU",IF(AND(LEN(J13)&gt;=6,LEN(K13)=10,K13&lt;='LIRE_D_ABORD'!$C$15,K13&lt;='LIRE_D_ABORD'!$K$10,LEN(L13)&gt;=3),"RESOLU","STOP"))</x:f>
        <x:v>INCONNU</x:v>
      </x:c>
    </x:row>
  </x:sheetData>
  <x:mergeCells>
    <x:mergeCell ref="A1:N2"/>
    <x:mergeCell ref="A3:N3"/>
  </x:mergeCells>
  <x:conditionalFormatting sqref="M6:M13">
    <x:cfRule type="containsText" dxfId="48" priority="1" operator="containsText" text="STOP"/>
    <x:cfRule type="containsText" dxfId="49" priority="2" operator="containsText" text="INCONNU"/>
    <x:cfRule type="containsText" dxfId="50" priority="3" operator="containsText" text="INVALIDE"/>
    <x:cfRule type="containsText" dxfId="51" priority="4" operator="containsText" text="PASS"/>
    <x:cfRule type="containsText" dxfId="52" priority="5" operator="containsText" text="RESOLU"/>
    <x:cfRule type="containsText" dxfId="53" priority="6" operator="containsText" text="VALIDE"/>
  </x:conditionalFormatting>
  <x:pageMargins left="0.7" right="0.7" top="0.75" bottom="0.75" header="0.3" footer="0.3"/>
  <x:tableParts count="1">
    <x:tablePart xmlns:r="http://schemas.openxmlformats.org/officeDocument/2006/relationships" r:id="R235fb63e60494bc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MIGRATION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Bascule, rollback, réconciliation et hypercare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Phase</x:v>
      </x:c>
      <x:c r="D5" s="11" t="str">
        <x:v>Critère</x:v>
      </x:c>
      <x:c r="E5" s="11" t="str">
        <x:v>Autorité</x:v>
      </x:c>
      <x:c r="F5" s="11" t="str">
        <x:v>Entrée</x:v>
      </x:c>
      <x:c r="G5" s="11" t="str">
        <x:v>Sortie</x:v>
      </x:c>
      <x:c r="H5" s="11" t="str">
        <x:v>Rollback</x:v>
      </x:c>
      <x:c r="I5" s="11" t="str">
        <x:v>Réconciliation</x:v>
      </x:c>
      <x:c r="J5" s="11" t="str">
        <x:v>Preuve</x:v>
      </x:c>
      <x:c r="K5" s="11" t="str">
        <x:v>Date ISO</x:v>
      </x:c>
      <x:c r="L5" s="11" t="str">
        <x:v>Propriétaire</x:v>
      </x:c>
      <x:c r="M5" s="11" t="str">
        <x:v>Statut</x:v>
      </x:c>
      <x:c r="N5" s="11" t="str">
        <x:v>Résultat</x:v>
      </x:c>
    </x:row>
    <x:row r="6" ht="62" customHeight="1">
      <x:c r="B6" s="16" t="str">
        <x:v>migration-01</x:v>
      </x:c>
      <x:c r="C6" s="16" t="str">
        <x:v>Gel et baseline</x:v>
      </x:c>
      <x:c r="D6" s="16" t="str">
        <x:v>Périmètre, commit et exports figés</x:v>
      </x:c>
      <x:c r="E6" s="19" t="str"/>
      <x:c r="F6" s="19" t="str"/>
      <x:c r="G6" s="19" t="str"/>
      <x:c r="H6" s="19" t="str"/>
      <x:c r="I6" s="19" t="str"/>
      <x:c r="J6" s="19" t="str"/>
      <x:c r="K6" s="19" t="str"/>
      <x:c r="L6" s="19" t="str">
        <x:v>À faire</x:v>
      </x:c>
      <x:c r="M6" s="19" t="str"/>
      <x:c r="N6" s="22" t="str">
        <x:f>IF(OR(COUNTBLANK(E6:L6)&gt;0,M6="À faire"),"INCONNU",IF(AND(M6="Validé",J6&lt;='LIRE_D_ABORD'!$C$15,J6&lt;='LIRE_D_ABORD'!$K$10),"RESOLU","STOP"))</x:f>
        <x:v>INCONNU</x:v>
      </x:c>
    </x:row>
    <x:row r="7" ht="62" customHeight="1">
      <x:c r="B7" s="16" t="str">
        <x:v>migration-02</x:v>
      </x:c>
      <x:c r="C7" s="16" t="str">
        <x:v>Environnement cible</x:v>
      </x:c>
      <x:c r="D7" s="16" t="str">
        <x:v>Build reproductible et observé</x:v>
      </x:c>
      <x:c r="E7" s="19" t="str"/>
      <x:c r="F7" s="19" t="str"/>
      <x:c r="G7" s="19" t="str"/>
      <x:c r="H7" s="19" t="str"/>
      <x:c r="I7" s="19" t="str"/>
      <x:c r="J7" s="19" t="str"/>
      <x:c r="K7" s="19" t="str"/>
      <x:c r="L7" s="19" t="str">
        <x:v>À faire</x:v>
      </x:c>
      <x:c r="M7" s="19" t="str"/>
      <x:c r="N7" s="22" t="str">
        <x:f>IF(OR(COUNTBLANK(E7:L7)&gt;0,M7="À faire"),"INCONNU",IF(AND(M7="Validé",J7&lt;='LIRE_D_ABORD'!$C$15,J7&lt;='LIRE_D_ABORD'!$K$10),"RESOLU","STOP"))</x:f>
        <x:v>INCONNU</x:v>
      </x:c>
    </x:row>
    <x:row r="8" ht="62" customHeight="1">
      <x:c r="B8" s="16" t="str">
        <x:v>migration-03</x:v>
      </x:c>
      <x:c r="C8" s="16" t="str">
        <x:v>Répétition données</x:v>
      </x:c>
      <x:c r="D8" s="16" t="str">
        <x:v>Migration sur copie et réconciliation</x:v>
      </x:c>
      <x:c r="E8" s="19" t="str"/>
      <x:c r="F8" s="19" t="str"/>
      <x:c r="G8" s="19" t="str"/>
      <x:c r="H8" s="19" t="str"/>
      <x:c r="I8" s="19" t="str"/>
      <x:c r="J8" s="19" t="str"/>
      <x:c r="K8" s="19" t="str"/>
      <x:c r="L8" s="19" t="str">
        <x:v>À faire</x:v>
      </x:c>
      <x:c r="M8" s="19" t="str"/>
      <x:c r="N8" s="22" t="str">
        <x:f>IF(OR(COUNTBLANK(E8:L8)&gt;0,M8="À faire"),"INCONNU",IF(AND(M8="Validé",J8&lt;='LIRE_D_ABORD'!$C$15,J8&lt;='LIRE_D_ABORD'!$K$10),"RESOLU","STOP"))</x:f>
        <x:v>INCONNU</x:v>
      </x:c>
    </x:row>
    <x:row r="9" ht="62" customHeight="1">
      <x:c r="B9" s="16" t="str">
        <x:v>migration-04</x:v>
      </x:c>
      <x:c r="C9" s="16" t="str">
        <x:v>Double run</x:v>
      </x:c>
      <x:c r="D9" s="16" t="str">
        <x:v>Écarts métier suivis et expliqués</x:v>
      </x:c>
      <x:c r="E9" s="19" t="str"/>
      <x:c r="F9" s="19" t="str"/>
      <x:c r="G9" s="19" t="str"/>
      <x:c r="H9" s="19" t="str"/>
      <x:c r="I9" s="19" t="str"/>
      <x:c r="J9" s="19" t="str"/>
      <x:c r="K9" s="19" t="str"/>
      <x:c r="L9" s="19" t="str">
        <x:v>À faire</x:v>
      </x:c>
      <x:c r="M9" s="19" t="str"/>
      <x:c r="N9" s="22" t="str">
        <x:f>IF(OR(COUNTBLANK(E9:L9)&gt;0,M9="À faire"),"INCONNU",IF(AND(M9="Validé",J9&lt;='LIRE_D_ABORD'!$C$15,J9&lt;='LIRE_D_ABORD'!$K$10),"RESOLU","STOP"))</x:f>
        <x:v>INCONNU</x:v>
      </x:c>
    </x:row>
    <x:row r="10" ht="62" customHeight="1">
      <x:c r="B10" s="16" t="str">
        <x:v>migration-05</x:v>
      </x:c>
      <x:c r="C10" s="16" t="str">
        <x:v>Bascule</x:v>
      </x:c>
      <x:c r="D10" s="16" t="str">
        <x:v>Autorité, fenêtre et critères Go/No-Go</x:v>
      </x:c>
      <x:c r="E10" s="19" t="str"/>
      <x:c r="F10" s="19" t="str"/>
      <x:c r="G10" s="19" t="str"/>
      <x:c r="H10" s="19" t="str"/>
      <x:c r="I10" s="19" t="str"/>
      <x:c r="J10" s="19" t="str"/>
      <x:c r="K10" s="19" t="str"/>
      <x:c r="L10" s="19" t="str">
        <x:v>À faire</x:v>
      </x:c>
      <x:c r="M10" s="19" t="str"/>
      <x:c r="N10" s="22" t="str">
        <x:f>IF(OR(COUNTBLANK(E10:L10)&gt;0,M10="À faire"),"INCONNU",IF(AND(M10="Validé",J10&lt;='LIRE_D_ABORD'!$C$15,J10&lt;='LIRE_D_ABORD'!$K$10),"RESOLU","STOP"))</x:f>
        <x:v>INCONNU</x:v>
      </x:c>
    </x:row>
    <x:row r="11" ht="62" customHeight="1">
      <x:c r="B11" s="16" t="str">
        <x:v>migration-06</x:v>
      </x:c>
      <x:c r="C11" s="16" t="str">
        <x:v>Rollback</x:v>
      </x:c>
      <x:c r="D11" s="16" t="str">
        <x:v>Seuil, décisionnaire et procédure testée</x:v>
      </x:c>
      <x:c r="E11" s="19" t="str"/>
      <x:c r="F11" s="19" t="str"/>
      <x:c r="G11" s="19" t="str"/>
      <x:c r="H11" s="19" t="str"/>
      <x:c r="I11" s="19" t="str"/>
      <x:c r="J11" s="19" t="str"/>
      <x:c r="K11" s="19" t="str"/>
      <x:c r="L11" s="19" t="str">
        <x:v>À faire</x:v>
      </x:c>
      <x:c r="M11" s="19" t="str"/>
      <x:c r="N11" s="22" t="str">
        <x:f>IF(OR(COUNTBLANK(E11:L11)&gt;0,M11="À faire"),"INCONNU",IF(AND(M11="Validé",J11&lt;='LIRE_D_ABORD'!$C$15,J11&lt;='LIRE_D_ABORD'!$K$10),"RESOLU","STOP"))</x:f>
        <x:v>INCONNU</x:v>
      </x:c>
    </x:row>
    <x:row r="12" ht="62" customHeight="1">
      <x:c r="B12" s="16" t="str">
        <x:v>migration-07</x:v>
      </x:c>
      <x:c r="C12" s="16" t="str">
        <x:v>Hypercare</x:v>
      </x:c>
      <x:c r="D12" s="16" t="str">
        <x:v>Alertes, support, incidents et SLA</x:v>
      </x:c>
      <x:c r="E12" s="19" t="str"/>
      <x:c r="F12" s="19" t="str"/>
      <x:c r="G12" s="19" t="str"/>
      <x:c r="H12" s="19" t="str"/>
      <x:c r="I12" s="19" t="str"/>
      <x:c r="J12" s="19" t="str"/>
      <x:c r="K12" s="19" t="str"/>
      <x:c r="L12" s="19" t="str">
        <x:v>À faire</x:v>
      </x:c>
      <x:c r="M12" s="19" t="str"/>
      <x:c r="N12" s="22" t="str">
        <x:f>IF(OR(COUNTBLANK(E12:L12)&gt;0,M12="À faire"),"INCONNU",IF(AND(M12="Validé",J12&lt;='LIRE_D_ABORD'!$C$15,J12&lt;='LIRE_D_ABORD'!$K$10),"RESOLU","STOP"))</x:f>
        <x:v>INCONNU</x:v>
      </x:c>
    </x:row>
    <x:row r="13" ht="62" customHeight="1">
      <x:c r="B13" s="17" t="str">
        <x:v>migration-08</x:v>
      </x:c>
      <x:c r="C13" s="17" t="str">
        <x:v>Sortie</x:v>
      </x:c>
      <x:c r="D13" s="17" t="str">
        <x:v>Archives, révocations, contrats et preuves</x:v>
      </x:c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>
        <x:v>À faire</x:v>
      </x:c>
      <x:c r="M13" s="20" t="str"/>
      <x:c r="N13" s="23" t="str">
        <x:f>IF(OR(COUNTBLANK(E13:L13)&gt;0,M13="À faire"),"INCONNU",IF(AND(M13="Validé",J13&lt;='LIRE_D_ABORD'!$C$15,J13&lt;='LIRE_D_ABORD'!$K$10),"RESOLU","STOP"))</x:f>
        <x:v>INCONNU</x:v>
      </x:c>
    </x:row>
  </x:sheetData>
  <x:mergeCells>
    <x:mergeCell ref="A1:N2"/>
    <x:mergeCell ref="A3:N3"/>
  </x:mergeCells>
  <x:conditionalFormatting sqref="N6:N13">
    <x:cfRule type="containsText" dxfId="54" priority="1" operator="containsText" text="STOP"/>
    <x:cfRule type="containsText" dxfId="55" priority="2" operator="containsText" text="INCONNU"/>
    <x:cfRule type="containsText" dxfId="56" priority="3" operator="containsText" text="INVALIDE"/>
    <x:cfRule type="containsText" dxfId="57" priority="4" operator="containsText" text="PASS"/>
    <x:cfRule type="containsText" dxfId="58" priority="5" operator="containsText" text="RESOLU"/>
    <x:cfRule type="containsText" dxfId="59" priority="6" operator="containsText" text="VALIDE"/>
  </x:conditionalFormatting>
  <x:dataValidations count="1">
    <x:dataValidation type="list" sqref="M6:M13">
      <x:formula1>"À faire,Testé,Validé,Échec"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c40ee534a4ed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HYPOTHESES TCO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Hypothèses des cinq trajectoires, toutes remplaçables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Trajectoire</x:v>
      </x:c>
      <x:c r="D5" s="11" t="str">
        <x:v>Ponctuel (€)</x:v>
      </x:c>
      <x:c r="E5" s="11" t="str">
        <x:v>Mensuel (€)</x:v>
      </x:c>
      <x:c r="F5" s="11" t="str">
        <x:v>Annuel (€)</x:v>
      </x:c>
      <x:c r="G5" s="11" t="str">
        <x:v>Heures internes ponctuelles</x:v>
      </x:c>
      <x:c r="H5" s="11" t="str">
        <x:v>Heures internes / mois</x:v>
      </x:c>
      <x:c r="I5" s="11" t="str">
        <x:v>Taux interne (€/h)</x:v>
      </x:c>
      <x:c r="J5" s="11" t="str">
        <x:v>Double run (mois)</x:v>
      </x:c>
      <x:c r="K5" s="11" t="str">
        <x:v>Double run (€/mois)</x:v>
      </x:c>
      <x:c r="L5" s="11" t="str">
        <x:v>Sortie (€)</x:v>
      </x:c>
      <x:c r="M5" s="11" t="str">
        <x:v>Validité</x:v>
      </x:c>
    </x:row>
    <x:row r="6" ht="62" customHeight="1">
      <x:c r="B6" s="16" t="str">
        <x:v>conserve</x:v>
      </x:c>
      <x:c r="C6" s="16" t="str">
        <x:v>Conserver</x:v>
      </x:c>
      <x:c r="D6" s="41" t="n">
        <x:v>10000</x:v>
      </x:c>
      <x:c r="E6" s="41" t="n">
        <x:v>1000</x:v>
      </x:c>
      <x:c r="F6" s="41" t="n">
        <x:v>12000</x:v>
      </x:c>
      <x:c r="G6" s="43" t="n">
        <x:v>100</x:v>
      </x:c>
      <x:c r="H6" s="43" t="n">
        <x:v>10</x:v>
      </x:c>
      <x:c r="I6" s="41" t="n">
        <x:v>50</x:v>
      </x:c>
      <x:c r="J6" s="45" t="n">
        <x:v>0</x:v>
      </x:c>
      <x:c r="K6" s="41" t="n">
        <x:v>0</x:v>
      </x:c>
      <x:c r="L6" s="41" t="n">
        <x:v>5000</x:v>
      </x:c>
      <x:c r="M6" s="22" t="str">
        <x:f>IF(COUNT(D6:L6)&lt;9,"INCONNU",IF(AND(MIN(D6:L6)&gt;=0,MAX(D6:F6)&lt;='LIRE_D_ABORD'!$K$6,MAX(G6:H6)&lt;='LIRE_D_ABORD'!$K$7,I6&lt;='LIRE_D_ABORD'!$K$6,J6&lt;=60,INT(J6)=J6,K6&lt;='LIRE_D_ABORD'!$K$6,L6&lt;='LIRE_D_ABORD'!$K$6,ROUND(D6,'LIRE_D_ABORD'!$K$11)=D6,ROUND(E6,'LIRE_D_ABORD'!$K$11)=E6,ROUND(F6,'LIRE_D_ABORD'!$K$11)=F6,ROUND(G6,'LIRE_D_ABORD'!$K$11)=G6,ROUND(H6,'LIRE_D_ABORD'!$K$11)=H6,ROUND(I6,'LIRE_D_ABORD'!$K$11)=I6,ROUND(K6,'LIRE_D_ABORD'!$K$11)=K6,ROUND(L6,'LIRE_D_ABORD'!$K$11)=L6),"VALIDE","STOP"))</x:f>
        <x:v>VALIDE</x:v>
      </x:c>
    </x:row>
    <x:row r="7" ht="62" customHeight="1">
      <x:c r="B7" s="16" t="str">
        <x:v>stabilise</x:v>
      </x:c>
      <x:c r="C7" s="16" t="str">
        <x:v>Stabiliser</x:v>
      </x:c>
      <x:c r="D7" s="41" t="n">
        <x:v>25000</x:v>
      </x:c>
      <x:c r="E7" s="41" t="n">
        <x:v>1500</x:v>
      </x:c>
      <x:c r="F7" s="41" t="n">
        <x:v>12000</x:v>
      </x:c>
      <x:c r="G7" s="43" t="n">
        <x:v>200</x:v>
      </x:c>
      <x:c r="H7" s="43" t="n">
        <x:v>10</x:v>
      </x:c>
      <x:c r="I7" s="41" t="n">
        <x:v>50</x:v>
      </x:c>
      <x:c r="J7" s="45" t="n">
        <x:v>2</x:v>
      </x:c>
      <x:c r="K7" s="41" t="n">
        <x:v>1000</x:v>
      </x:c>
      <x:c r="L7" s="41" t="n">
        <x:v>5000</x:v>
      </x:c>
      <x:c r="M7" s="22" t="str">
        <x:f>IF(COUNT(D7:L7)&lt;9,"INCONNU",IF(AND(MIN(D7:L7)&gt;=0,MAX(D7:F7)&lt;='LIRE_D_ABORD'!$K$6,MAX(G7:H7)&lt;='LIRE_D_ABORD'!$K$7,I7&lt;='LIRE_D_ABORD'!$K$6,J7&lt;=60,INT(J7)=J7,K7&lt;='LIRE_D_ABORD'!$K$6,L7&lt;='LIRE_D_ABORD'!$K$6,ROUND(D7,'LIRE_D_ABORD'!$K$11)=D7,ROUND(E7,'LIRE_D_ABORD'!$K$11)=E7,ROUND(F7,'LIRE_D_ABORD'!$K$11)=F7,ROUND(G7,'LIRE_D_ABORD'!$K$11)=G7,ROUND(H7,'LIRE_D_ABORD'!$K$11)=H7,ROUND(I7,'LIRE_D_ABORD'!$K$11)=I7,ROUND(K7,'LIRE_D_ABORD'!$K$11)=K7,ROUND(L7,'LIRE_D_ABORD'!$K$11)=L7),"VALIDE","STOP"))</x:f>
        <x:v>VALIDE</x:v>
      </x:c>
    </x:row>
    <x:row r="8" ht="62" customHeight="1">
      <x:c r="B8" s="16" t="str">
        <x:v>migrate</x:v>
      </x:c>
      <x:c r="C8" s="16" t="str">
        <x:v>Migrer progressivement</x:v>
      </x:c>
      <x:c r="D8" s="41" t="n">
        <x:v>60000</x:v>
      </x:c>
      <x:c r="E8" s="41" t="n">
        <x:v>1800</x:v>
      </x:c>
      <x:c r="F8" s="41" t="n">
        <x:v>12000</x:v>
      </x:c>
      <x:c r="G8" s="43" t="n">
        <x:v>300</x:v>
      </x:c>
      <x:c r="H8" s="43" t="n">
        <x:v>15</x:v>
      </x:c>
      <x:c r="I8" s="41" t="n">
        <x:v>50</x:v>
      </x:c>
      <x:c r="J8" s="45" t="n">
        <x:v>4</x:v>
      </x:c>
      <x:c r="K8" s="41" t="n">
        <x:v>2000</x:v>
      </x:c>
      <x:c r="L8" s="41" t="n">
        <x:v>6000</x:v>
      </x:c>
      <x:c r="M8" s="22" t="str">
        <x:f>IF(COUNT(D8:L8)&lt;9,"INCONNU",IF(AND(MIN(D8:L8)&gt;=0,MAX(D8:F8)&lt;='LIRE_D_ABORD'!$K$6,MAX(G8:H8)&lt;='LIRE_D_ABORD'!$K$7,I8&lt;='LIRE_D_ABORD'!$K$6,J8&lt;=60,INT(J8)=J8,K8&lt;='LIRE_D_ABORD'!$K$6,L8&lt;='LIRE_D_ABORD'!$K$6,ROUND(D8,'LIRE_D_ABORD'!$K$11)=D8,ROUND(E8,'LIRE_D_ABORD'!$K$11)=E8,ROUND(F8,'LIRE_D_ABORD'!$K$11)=F8,ROUND(G8,'LIRE_D_ABORD'!$K$11)=G8,ROUND(H8,'LIRE_D_ABORD'!$K$11)=H8,ROUND(I8,'LIRE_D_ABORD'!$K$11)=I8,ROUND(K8,'LIRE_D_ABORD'!$K$11)=K8,ROUND(L8,'LIRE_D_ABORD'!$K$11)=L8),"VALIDE","STOP"))</x:f>
        <x:v>VALIDE</x:v>
      </x:c>
    </x:row>
    <x:row r="9" ht="62" customHeight="1">
      <x:c r="B9" s="16" t="str">
        <x:v>rewrite</x:v>
      </x:c>
      <x:c r="C9" s="16" t="str">
        <x:v>Réécrire</x:v>
      </x:c>
      <x:c r="D9" s="41" t="n">
        <x:v>120000</x:v>
      </x:c>
      <x:c r="E9" s="41" t="n">
        <x:v>2000</x:v>
      </x:c>
      <x:c r="F9" s="41" t="n">
        <x:v>18000</x:v>
      </x:c>
      <x:c r="G9" s="43" t="n">
        <x:v>600</x:v>
      </x:c>
      <x:c r="H9" s="43" t="n">
        <x:v>20</x:v>
      </x:c>
      <x:c r="I9" s="41" t="n">
        <x:v>50</x:v>
      </x:c>
      <x:c r="J9" s="45" t="n">
        <x:v>6</x:v>
      </x:c>
      <x:c r="K9" s="41" t="n">
        <x:v>2000</x:v>
      </x:c>
      <x:c r="L9" s="41" t="n">
        <x:v>8000</x:v>
      </x:c>
      <x:c r="M9" s="22" t="str">
        <x:f>IF(COUNT(D9:L9)&lt;9,"INCONNU",IF(AND(MIN(D9:L9)&gt;=0,MAX(D9:F9)&lt;='LIRE_D_ABORD'!$K$6,MAX(G9:H9)&lt;='LIRE_D_ABORD'!$K$7,I9&lt;='LIRE_D_ABORD'!$K$6,J9&lt;=60,INT(J9)=J9,K9&lt;='LIRE_D_ABORD'!$K$6,L9&lt;='LIRE_D_ABORD'!$K$6,ROUND(D9,'LIRE_D_ABORD'!$K$11)=D9,ROUND(E9,'LIRE_D_ABORD'!$K$11)=E9,ROUND(F9,'LIRE_D_ABORD'!$K$11)=F9,ROUND(G9,'LIRE_D_ABORD'!$K$11)=G9,ROUND(H9,'LIRE_D_ABORD'!$K$11)=H9,ROUND(I9,'LIRE_D_ABORD'!$K$11)=I9,ROUND(K9,'LIRE_D_ABORD'!$K$11)=K9,ROUND(L9,'LIRE_D_ABORD'!$K$11)=L9),"VALIDE","STOP"))</x:f>
        <x:v>VALIDE</x:v>
      </x:c>
    </x:row>
    <x:row r="10" ht="62" customHeight="1">
      <x:c r="B10" s="17" t="str">
        <x:v>stop</x:v>
      </x:c>
      <x:c r="C10" s="17" t="str">
        <x:v>Arrêter proprement</x:v>
      </x:c>
      <x:c r="D10" s="42" t="n">
        <x:v>20000</x:v>
      </x:c>
      <x:c r="E10" s="42" t="n">
        <x:v>200</x:v>
      </x:c>
      <x:c r="F10" s="42" t="n">
        <x:v>2400</x:v>
      </x:c>
      <x:c r="G10" s="44" t="n">
        <x:v>100</x:v>
      </x:c>
      <x:c r="H10" s="44" t="n">
        <x:v>2</x:v>
      </x:c>
      <x:c r="I10" s="42" t="n">
        <x:v>50</x:v>
      </x:c>
      <x:c r="J10" s="46" t="n">
        <x:v>0</x:v>
      </x:c>
      <x:c r="K10" s="42" t="n">
        <x:v>0</x:v>
      </x:c>
      <x:c r="L10" s="42" t="n">
        <x:v>10000</x:v>
      </x:c>
      <x:c r="M10" s="23" t="str">
        <x:f>IF(COUNT(D10:L10)&lt;9,"INCONNU",IF(AND(MIN(D10:L10)&gt;=0,MAX(D10:F10)&lt;='LIRE_D_ABORD'!$K$6,MAX(G10:H10)&lt;='LIRE_D_ABORD'!$K$7,I10&lt;='LIRE_D_ABORD'!$K$6,J10&lt;=60,INT(J10)=J10,K10&lt;='LIRE_D_ABORD'!$K$6,L10&lt;='LIRE_D_ABORD'!$K$6,ROUND(D10,'LIRE_D_ABORD'!$K$11)=D10,ROUND(E10,'LIRE_D_ABORD'!$K$11)=E10,ROUND(F10,'LIRE_D_ABORD'!$K$11)=F10,ROUND(G10,'LIRE_D_ABORD'!$K$11)=G10,ROUND(H10,'LIRE_D_ABORD'!$K$11)=H10,ROUND(I10,'LIRE_D_ABORD'!$K$11)=I10,ROUND(K10,'LIRE_D_ABORD'!$K$11)=K10,ROUND(L10,'LIRE_D_ABORD'!$K$11)=L10),"VALIDE","STOP"))</x:f>
        <x:v>VALIDE</x:v>
      </x:c>
    </x:row>
    <x:row r="13">
      <x:c r="B13" s="30" t="str">
        <x:v>AVERTISSEMENT</x:v>
      </x:c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>
      <x:c r="B14" s="47" t="str">
        <x:v>EXEMPLE FICTIF : ces chiffres illustrent la mécanique et ne constituent ni prix de marché ni devis.</x:v>
      </x:c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</x:row>
    <x:row r="15">
      <x:c r="B15" s="47" t="str">
        <x:v>La décision finale reste verrouillée tant que LIRE_D_ABORD!C18 n’est pas confirmé OUI après remplacement et sourçage.</x:v>
      </x:c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</x:row>
  </x:sheetData>
  <x:mergeCells>
    <x:mergeCell ref="A1:N2"/>
    <x:mergeCell ref="A3:N3"/>
    <x:mergeCell ref="B13:M13"/>
    <x:mergeCell ref="B14:M14"/>
    <x:mergeCell ref="B15:M15"/>
  </x:mergeCells>
  <x:conditionalFormatting sqref="M6:M10">
    <x:cfRule type="containsText" dxfId="60" priority="1" operator="containsText" text="STOP"/>
    <x:cfRule type="containsText" dxfId="61" priority="2" operator="containsText" text="INCONNU"/>
    <x:cfRule type="containsText" dxfId="62" priority="3" operator="containsText" text="INVALIDE"/>
    <x:cfRule type="containsText" dxfId="63" priority="4" operator="containsText" text="PASS"/>
    <x:cfRule type="containsText" dxfId="64" priority="5" operator="containsText" text="RESOLU"/>
    <x:cfRule type="containsText" dxfId="65" priority="6" operator="containsText" text="VALIDE"/>
  </x:conditionalFormatting>
  <x:dataValidations count="5">
    <x:dataValidation type="decimal" operator="between" sqref="D6:F10">
      <x:formula1>0</x:formula1>
      <x:formula2>1000000000</x:formula2>
    </x:dataValidation>
    <x:dataValidation type="decimal" operator="between" sqref="G6:H10">
      <x:formula1>0</x:formula1>
      <x:formula2>1000000</x:formula2>
    </x:dataValidation>
    <x:dataValidation type="decimal" operator="between" sqref="I6:I10">
      <x:formula1>0</x:formula1>
      <x:formula2>1000000000</x:formula2>
    </x:dataValidation>
    <x:dataValidation type="whole" operator="between" sqref="J6:J10">
      <x:formula1>0</x:formula1>
      <x:formula2>60</x:formula2>
    </x:dataValidation>
    <x:dataValidation type="decimal" operator="between" sqref="K6:L10">
      <x:formula1>0</x:formula1>
      <x:formula2>1000000000</x:formula2>
    </x:dataValidation>
  </x:dataValidations>
  <x:pageMargins left="0.7" right="0.7" top="0.75" bottom="0.75" header="0.3" footer="0.3"/>
  <x:legacyDrawing xmlns:r="http://schemas.openxmlformats.org/officeDocument/2006/relationships" r:id="Rc1a2be0ea4a44c93"/>
  <x:tableParts count="1">
    <x:tablePart xmlns:r="http://schemas.openxmlformats.org/officeDocument/2006/relationships" r:id="Rcc6704d9f3b6429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TCO 12 36 60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TCO comparable à périmètre constant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Trajectoire</x:v>
      </x:c>
      <x:c r="C5" s="11" t="n">
        <x:v>12</x:v>
      </x:c>
      <x:c r="D5" s="11" t="n">
        <x:v>36</x:v>
      </x:c>
      <x:c r="E5" s="11" t="n">
        <x:v>60</x:v>
      </x:c>
      <x:c r="F5" s="11" t="str">
        <x:v>Validité agrégat</x:v>
      </x:c>
      <x:c r="G5" s="11" t="str">
        <x:v>Finalité</x:v>
      </x:c>
    </x:row>
    <x:row r="6" ht="60" customHeight="1">
      <x:c r="B6" s="16" t="str">
        <x:v>Conserver</x:v>
      </x:c>
      <x:c r="C6" s="48" t="n">
        <x:f>IF('HYPOTHESES_TCO'!$M6&lt;&gt;"VALIDE","ND",IF(ROUND('HYPOTHESES_TCO'!$D6+'HYPOTHESES_TCO'!$E6*C$5+'HYPOTHESES_TCO'!$F6*(C$5/12)+ROUND('HYPOTHESES_TCO'!$G6*'HYPOTHESES_TCO'!$I6,2)+ROUND('HYPOTHESES_TCO'!$H6*'HYPOTHESES_TCO'!$I6*C$5,2)+'HYPOTHESES_TCO'!$K6*MIN('HYPOTHESES_TCO'!$J6,C$5)+'HYPOTHESES_TCO'!$L6,2)&lt;='LIRE_D_ABORD'!$K$9,ROUND('HYPOTHESES_TCO'!$D6+'HYPOTHESES_TCO'!$E6*C$5+'HYPOTHESES_TCO'!$F6*(C$5/12)+ROUND('HYPOTHESES_TCO'!$G6*'HYPOTHESES_TCO'!$I6,2)+ROUND('HYPOTHESES_TCO'!$H6*'HYPOTHESES_TCO'!$I6*C$5,2)+'HYPOTHESES_TCO'!$K6*MIN('HYPOTHESES_TCO'!$J6,C$5)+'HYPOTHESES_TCO'!$L6,2),"STOP"))</x:f>
        <x:v>50000</x:v>
      </x:c>
      <x:c r="D6" s="48" t="n">
        <x:f>IF('HYPOTHESES_TCO'!$M6&lt;&gt;"VALIDE","ND",IF(ROUND('HYPOTHESES_TCO'!$D6+'HYPOTHESES_TCO'!$E6*D$5+'HYPOTHESES_TCO'!$F6*(D$5/12)+ROUND('HYPOTHESES_TCO'!$G6*'HYPOTHESES_TCO'!$I6,2)+ROUND('HYPOTHESES_TCO'!$H6*'HYPOTHESES_TCO'!$I6*D$5,2)+'HYPOTHESES_TCO'!$K6*MIN('HYPOTHESES_TCO'!$J6,D$5)+'HYPOTHESES_TCO'!$L6,2)&lt;='LIRE_D_ABORD'!$K$9,ROUND('HYPOTHESES_TCO'!$D6+'HYPOTHESES_TCO'!$E6*D$5+'HYPOTHESES_TCO'!$F6*(D$5/12)+ROUND('HYPOTHESES_TCO'!$G6*'HYPOTHESES_TCO'!$I6,2)+ROUND('HYPOTHESES_TCO'!$H6*'HYPOTHESES_TCO'!$I6*D$5,2)+'HYPOTHESES_TCO'!$K6*MIN('HYPOTHESES_TCO'!$J6,D$5)+'HYPOTHESES_TCO'!$L6,2),"STOP"))</x:f>
        <x:v>110000</x:v>
      </x:c>
      <x:c r="E6" s="48" t="n">
        <x:f>IF('HYPOTHESES_TCO'!$M6&lt;&gt;"VALIDE","ND",IF(ROUND('HYPOTHESES_TCO'!$D6+'HYPOTHESES_TCO'!$E6*E$5+'HYPOTHESES_TCO'!$F6*(E$5/12)+ROUND('HYPOTHESES_TCO'!$G6*'HYPOTHESES_TCO'!$I6,2)+ROUND('HYPOTHESES_TCO'!$H6*'HYPOTHESES_TCO'!$I6*E$5,2)+'HYPOTHESES_TCO'!$K6*MIN('HYPOTHESES_TCO'!$J6,E$5)+'HYPOTHESES_TCO'!$L6,2)&lt;='LIRE_D_ABORD'!$K$9,ROUND('HYPOTHESES_TCO'!$D6+'HYPOTHESES_TCO'!$E6*E$5+'HYPOTHESES_TCO'!$F6*(E$5/12)+ROUND('HYPOTHESES_TCO'!$G6*'HYPOTHESES_TCO'!$I6,2)+ROUND('HYPOTHESES_TCO'!$H6*'HYPOTHESES_TCO'!$I6*E$5,2)+'HYPOTHESES_TCO'!$K6*MIN('HYPOTHESES_TCO'!$J6,E$5)+'HYPOTHESES_TCO'!$L6,2),"STOP"))</x:f>
        <x:v>170000</x:v>
      </x:c>
      <x:c r="F6" s="22" t="str">
        <x:f>IF(COUNT(C6:E6)=3,"VALIDE",IF(COUNTIF(C6:E6,"STOP")&gt;0,"STOP","INCONNU"))</x:f>
        <x:v>VALIDE</x:v>
      </x:c>
      <x:c r="G6" s="16" t="str">
        <x:v>Maintenir le socle prouvé sans changement structurel inutile.</x:v>
      </x:c>
    </x:row>
    <x:row r="7" ht="60" customHeight="1">
      <x:c r="B7" s="16" t="str">
        <x:v>Stabiliser</x:v>
      </x:c>
      <x:c r="C7" s="48" t="n">
        <x:f>IF('HYPOTHESES_TCO'!$M7&lt;&gt;"VALIDE","ND",IF(ROUND('HYPOTHESES_TCO'!$D7+'HYPOTHESES_TCO'!$E7*C$5+'HYPOTHESES_TCO'!$F7*(C$5/12)+ROUND('HYPOTHESES_TCO'!$G7*'HYPOTHESES_TCO'!$I7,2)+ROUND('HYPOTHESES_TCO'!$H7*'HYPOTHESES_TCO'!$I7*C$5,2)+'HYPOTHESES_TCO'!$K7*MIN('HYPOTHESES_TCO'!$J7,C$5)+'HYPOTHESES_TCO'!$L7,2)&lt;='LIRE_D_ABORD'!$K$9,ROUND('HYPOTHESES_TCO'!$D7+'HYPOTHESES_TCO'!$E7*C$5+'HYPOTHESES_TCO'!$F7*(C$5/12)+ROUND('HYPOTHESES_TCO'!$G7*'HYPOTHESES_TCO'!$I7,2)+ROUND('HYPOTHESES_TCO'!$H7*'HYPOTHESES_TCO'!$I7*C$5,2)+'HYPOTHESES_TCO'!$K7*MIN('HYPOTHESES_TCO'!$J7,C$5)+'HYPOTHESES_TCO'!$L7,2),"STOP"))</x:f>
        <x:v>78000</x:v>
      </x:c>
      <x:c r="D7" s="48" t="n">
        <x:f>IF('HYPOTHESES_TCO'!$M7&lt;&gt;"VALIDE","ND",IF(ROUND('HYPOTHESES_TCO'!$D7+'HYPOTHESES_TCO'!$E7*D$5+'HYPOTHESES_TCO'!$F7*(D$5/12)+ROUND('HYPOTHESES_TCO'!$G7*'HYPOTHESES_TCO'!$I7,2)+ROUND('HYPOTHESES_TCO'!$H7*'HYPOTHESES_TCO'!$I7*D$5,2)+'HYPOTHESES_TCO'!$K7*MIN('HYPOTHESES_TCO'!$J7,D$5)+'HYPOTHESES_TCO'!$L7,2)&lt;='LIRE_D_ABORD'!$K$9,ROUND('HYPOTHESES_TCO'!$D7+'HYPOTHESES_TCO'!$E7*D$5+'HYPOTHESES_TCO'!$F7*(D$5/12)+ROUND('HYPOTHESES_TCO'!$G7*'HYPOTHESES_TCO'!$I7,2)+ROUND('HYPOTHESES_TCO'!$H7*'HYPOTHESES_TCO'!$I7*D$5,2)+'HYPOTHESES_TCO'!$K7*MIN('HYPOTHESES_TCO'!$J7,D$5)+'HYPOTHESES_TCO'!$L7,2),"STOP"))</x:f>
        <x:v>150000</x:v>
      </x:c>
      <x:c r="E7" s="48" t="n">
        <x:f>IF('HYPOTHESES_TCO'!$M7&lt;&gt;"VALIDE","ND",IF(ROUND('HYPOTHESES_TCO'!$D7+'HYPOTHESES_TCO'!$E7*E$5+'HYPOTHESES_TCO'!$F7*(E$5/12)+ROUND('HYPOTHESES_TCO'!$G7*'HYPOTHESES_TCO'!$I7,2)+ROUND('HYPOTHESES_TCO'!$H7*'HYPOTHESES_TCO'!$I7*E$5,2)+'HYPOTHESES_TCO'!$K7*MIN('HYPOTHESES_TCO'!$J7,E$5)+'HYPOTHESES_TCO'!$L7,2)&lt;='LIRE_D_ABORD'!$K$9,ROUND('HYPOTHESES_TCO'!$D7+'HYPOTHESES_TCO'!$E7*E$5+'HYPOTHESES_TCO'!$F7*(E$5/12)+ROUND('HYPOTHESES_TCO'!$G7*'HYPOTHESES_TCO'!$I7,2)+ROUND('HYPOTHESES_TCO'!$H7*'HYPOTHESES_TCO'!$I7*E$5,2)+'HYPOTHESES_TCO'!$K7*MIN('HYPOTHESES_TCO'!$J7,E$5)+'HYPOTHESES_TCO'!$L7,2),"STOP"))</x:f>
        <x:v>222000</x:v>
      </x:c>
      <x:c r="F7" s="22" t="str">
        <x:f>IF(COUNT(C7:E7)=3,"VALIDE",IF(COUNTIF(C7:E7,"STOP")&gt;0,"STOP","INCONNU"))</x:f>
        <x:v>VALIDE</x:v>
      </x:c>
      <x:c r="G7" s="16" t="str">
        <x:v>Corriger les risques prioritaires et documenter l’exploitation.</x:v>
      </x:c>
    </x:row>
    <x:row r="8" ht="60" customHeight="1">
      <x:c r="B8" s="16" t="str">
        <x:v>Migrer progressivement</x:v>
      </x:c>
      <x:c r="C8" s="48" t="n">
        <x:f>IF('HYPOTHESES_TCO'!$M8&lt;&gt;"VALIDE","ND",IF(ROUND('HYPOTHESES_TCO'!$D8+'HYPOTHESES_TCO'!$E8*C$5+'HYPOTHESES_TCO'!$F8*(C$5/12)+ROUND('HYPOTHESES_TCO'!$G8*'HYPOTHESES_TCO'!$I8,2)+ROUND('HYPOTHESES_TCO'!$H8*'HYPOTHESES_TCO'!$I8*C$5,2)+'HYPOTHESES_TCO'!$K8*MIN('HYPOTHESES_TCO'!$J8,C$5)+'HYPOTHESES_TCO'!$L8,2)&lt;='LIRE_D_ABORD'!$K$9,ROUND('HYPOTHESES_TCO'!$D8+'HYPOTHESES_TCO'!$E8*C$5+'HYPOTHESES_TCO'!$F8*(C$5/12)+ROUND('HYPOTHESES_TCO'!$G8*'HYPOTHESES_TCO'!$I8,2)+ROUND('HYPOTHESES_TCO'!$H8*'HYPOTHESES_TCO'!$I8*C$5,2)+'HYPOTHESES_TCO'!$K8*MIN('HYPOTHESES_TCO'!$J8,C$5)+'HYPOTHESES_TCO'!$L8,2),"STOP"))</x:f>
        <x:v>131600</x:v>
      </x:c>
      <x:c r="D8" s="48" t="n">
        <x:f>IF('HYPOTHESES_TCO'!$M8&lt;&gt;"VALIDE","ND",IF(ROUND('HYPOTHESES_TCO'!$D8+'HYPOTHESES_TCO'!$E8*D$5+'HYPOTHESES_TCO'!$F8*(D$5/12)+ROUND('HYPOTHESES_TCO'!$G8*'HYPOTHESES_TCO'!$I8,2)+ROUND('HYPOTHESES_TCO'!$H8*'HYPOTHESES_TCO'!$I8*D$5,2)+'HYPOTHESES_TCO'!$K8*MIN('HYPOTHESES_TCO'!$J8,D$5)+'HYPOTHESES_TCO'!$L8,2)&lt;='LIRE_D_ABORD'!$K$9,ROUND('HYPOTHESES_TCO'!$D8+'HYPOTHESES_TCO'!$E8*D$5+'HYPOTHESES_TCO'!$F8*(D$5/12)+ROUND('HYPOTHESES_TCO'!$G8*'HYPOTHESES_TCO'!$I8,2)+ROUND('HYPOTHESES_TCO'!$H8*'HYPOTHESES_TCO'!$I8*D$5,2)+'HYPOTHESES_TCO'!$K8*MIN('HYPOTHESES_TCO'!$J8,D$5)+'HYPOTHESES_TCO'!$L8,2),"STOP"))</x:f>
        <x:v>216800</x:v>
      </x:c>
      <x:c r="E8" s="48" t="n">
        <x:f>IF('HYPOTHESES_TCO'!$M8&lt;&gt;"VALIDE","ND",IF(ROUND('HYPOTHESES_TCO'!$D8+'HYPOTHESES_TCO'!$E8*E$5+'HYPOTHESES_TCO'!$F8*(E$5/12)+ROUND('HYPOTHESES_TCO'!$G8*'HYPOTHESES_TCO'!$I8,2)+ROUND('HYPOTHESES_TCO'!$H8*'HYPOTHESES_TCO'!$I8*E$5,2)+'HYPOTHESES_TCO'!$K8*MIN('HYPOTHESES_TCO'!$J8,E$5)+'HYPOTHESES_TCO'!$L8,2)&lt;='LIRE_D_ABORD'!$K$9,ROUND('HYPOTHESES_TCO'!$D8+'HYPOTHESES_TCO'!$E8*E$5+'HYPOTHESES_TCO'!$F8*(E$5/12)+ROUND('HYPOTHESES_TCO'!$G8*'HYPOTHESES_TCO'!$I8,2)+ROUND('HYPOTHESES_TCO'!$H8*'HYPOTHESES_TCO'!$I8*E$5,2)+'HYPOTHESES_TCO'!$K8*MIN('HYPOTHESES_TCO'!$J8,E$5)+'HYPOTHESES_TCO'!$L8,2),"STOP"))</x:f>
        <x:v>302000</x:v>
      </x:c>
      <x:c r="F8" s="22" t="str">
        <x:f>IF(COUNT(C8:E8)=3,"VALIDE",IF(COUNTIF(C8:E8,"STOP")&gt;0,"STOP","INCONNU"))</x:f>
        <x:v>VALIDE</x:v>
      </x:c>
      <x:c r="G8" s="16" t="str">
        <x:v>Remplacer les composants justifiés avec coexistence et rollback.</x:v>
      </x:c>
    </x:row>
    <x:row r="9" ht="60" customHeight="1">
      <x:c r="B9" s="16" t="str">
        <x:v>Réécrire</x:v>
      </x:c>
      <x:c r="C9" s="48" t="n">
        <x:f>IF('HYPOTHESES_TCO'!$M9&lt;&gt;"VALIDE","ND",IF(ROUND('HYPOTHESES_TCO'!$D9+'HYPOTHESES_TCO'!$E9*C$5+'HYPOTHESES_TCO'!$F9*(C$5/12)+ROUND('HYPOTHESES_TCO'!$G9*'HYPOTHESES_TCO'!$I9,2)+ROUND('HYPOTHESES_TCO'!$H9*'HYPOTHESES_TCO'!$I9*C$5,2)+'HYPOTHESES_TCO'!$K9*MIN('HYPOTHESES_TCO'!$J9,C$5)+'HYPOTHESES_TCO'!$L9,2)&lt;='LIRE_D_ABORD'!$K$9,ROUND('HYPOTHESES_TCO'!$D9+'HYPOTHESES_TCO'!$E9*C$5+'HYPOTHESES_TCO'!$F9*(C$5/12)+ROUND('HYPOTHESES_TCO'!$G9*'HYPOTHESES_TCO'!$I9,2)+ROUND('HYPOTHESES_TCO'!$H9*'HYPOTHESES_TCO'!$I9*C$5,2)+'HYPOTHESES_TCO'!$K9*MIN('HYPOTHESES_TCO'!$J9,C$5)+'HYPOTHESES_TCO'!$L9,2),"STOP"))</x:f>
        <x:v>224000</x:v>
      </x:c>
      <x:c r="D9" s="48" t="n">
        <x:f>IF('HYPOTHESES_TCO'!$M9&lt;&gt;"VALIDE","ND",IF(ROUND('HYPOTHESES_TCO'!$D9+'HYPOTHESES_TCO'!$E9*D$5+'HYPOTHESES_TCO'!$F9*(D$5/12)+ROUND('HYPOTHESES_TCO'!$G9*'HYPOTHESES_TCO'!$I9,2)+ROUND('HYPOTHESES_TCO'!$H9*'HYPOTHESES_TCO'!$I9*D$5,2)+'HYPOTHESES_TCO'!$K9*MIN('HYPOTHESES_TCO'!$J9,D$5)+'HYPOTHESES_TCO'!$L9,2)&lt;='LIRE_D_ABORD'!$K$9,ROUND('HYPOTHESES_TCO'!$D9+'HYPOTHESES_TCO'!$E9*D$5+'HYPOTHESES_TCO'!$F9*(D$5/12)+ROUND('HYPOTHESES_TCO'!$G9*'HYPOTHESES_TCO'!$I9,2)+ROUND('HYPOTHESES_TCO'!$H9*'HYPOTHESES_TCO'!$I9*D$5,2)+'HYPOTHESES_TCO'!$K9*MIN('HYPOTHESES_TCO'!$J9,D$5)+'HYPOTHESES_TCO'!$L9,2),"STOP"))</x:f>
        <x:v>332000</x:v>
      </x:c>
      <x:c r="E9" s="48" t="n">
        <x:f>IF('HYPOTHESES_TCO'!$M9&lt;&gt;"VALIDE","ND",IF(ROUND('HYPOTHESES_TCO'!$D9+'HYPOTHESES_TCO'!$E9*E$5+'HYPOTHESES_TCO'!$F9*(E$5/12)+ROUND('HYPOTHESES_TCO'!$G9*'HYPOTHESES_TCO'!$I9,2)+ROUND('HYPOTHESES_TCO'!$H9*'HYPOTHESES_TCO'!$I9*E$5,2)+'HYPOTHESES_TCO'!$K9*MIN('HYPOTHESES_TCO'!$J9,E$5)+'HYPOTHESES_TCO'!$L9,2)&lt;='LIRE_D_ABORD'!$K$9,ROUND('HYPOTHESES_TCO'!$D9+'HYPOTHESES_TCO'!$E9*E$5+'HYPOTHESES_TCO'!$F9*(E$5/12)+ROUND('HYPOTHESES_TCO'!$G9*'HYPOTHESES_TCO'!$I9,2)+ROUND('HYPOTHESES_TCO'!$H9*'HYPOTHESES_TCO'!$I9*E$5,2)+'HYPOTHESES_TCO'!$K9*MIN('HYPOTHESES_TCO'!$J9,E$5)+'HYPOTHESES_TCO'!$L9,2),"STOP"))</x:f>
        <x:v>440000</x:v>
      </x:c>
      <x:c r="F9" s="22" t="str">
        <x:f>IF(COUNT(C9:E9)=3,"VALIDE",IF(COUNTIF(C9:E9,"STOP")&gt;0,"STOP","INCONNU"))</x:f>
        <x:v>VALIDE</x:v>
      </x:c>
      <x:c r="G9" s="16" t="str">
        <x:v>Reconstruire le même service puis migrer données et usages.</x:v>
      </x:c>
    </x:row>
    <x:row r="10" ht="60" customHeight="1">
      <x:c r="B10" s="17" t="str">
        <x:v>Arrêter proprement</x:v>
      </x:c>
      <x:c r="C10" s="49" t="n">
        <x:f>IF('HYPOTHESES_TCO'!$M10&lt;&gt;"VALIDE","ND",IF(ROUND('HYPOTHESES_TCO'!$D10+'HYPOTHESES_TCO'!$E10*C$5+'HYPOTHESES_TCO'!$F10*(C$5/12)+ROUND('HYPOTHESES_TCO'!$G10*'HYPOTHESES_TCO'!$I10,2)+ROUND('HYPOTHESES_TCO'!$H10*'HYPOTHESES_TCO'!$I10*C$5,2)+'HYPOTHESES_TCO'!$K10*MIN('HYPOTHESES_TCO'!$J10,C$5)+'HYPOTHESES_TCO'!$L10,2)&lt;='LIRE_D_ABORD'!$K$9,ROUND('HYPOTHESES_TCO'!$D10+'HYPOTHESES_TCO'!$E10*C$5+'HYPOTHESES_TCO'!$F10*(C$5/12)+ROUND('HYPOTHESES_TCO'!$G10*'HYPOTHESES_TCO'!$I10,2)+ROUND('HYPOTHESES_TCO'!$H10*'HYPOTHESES_TCO'!$I10*C$5,2)+'HYPOTHESES_TCO'!$K10*MIN('HYPOTHESES_TCO'!$J10,C$5)+'HYPOTHESES_TCO'!$L10,2),"STOP"))</x:f>
        <x:v>41000</x:v>
      </x:c>
      <x:c r="D10" s="49" t="n">
        <x:f>IF('HYPOTHESES_TCO'!$M10&lt;&gt;"VALIDE","ND",IF(ROUND('HYPOTHESES_TCO'!$D10+'HYPOTHESES_TCO'!$E10*D$5+'HYPOTHESES_TCO'!$F10*(D$5/12)+ROUND('HYPOTHESES_TCO'!$G10*'HYPOTHESES_TCO'!$I10,2)+ROUND('HYPOTHESES_TCO'!$H10*'HYPOTHESES_TCO'!$I10*D$5,2)+'HYPOTHESES_TCO'!$K10*MIN('HYPOTHESES_TCO'!$J10,D$5)+'HYPOTHESES_TCO'!$L10,2)&lt;='LIRE_D_ABORD'!$K$9,ROUND('HYPOTHESES_TCO'!$D10+'HYPOTHESES_TCO'!$E10*D$5+'HYPOTHESES_TCO'!$F10*(D$5/12)+ROUND('HYPOTHESES_TCO'!$G10*'HYPOTHESES_TCO'!$I10,2)+ROUND('HYPOTHESES_TCO'!$H10*'HYPOTHESES_TCO'!$I10*D$5,2)+'HYPOTHESES_TCO'!$K10*MIN('HYPOTHESES_TCO'!$J10,D$5)+'HYPOTHESES_TCO'!$L10,2),"STOP"))</x:f>
        <x:v>53000</x:v>
      </x:c>
      <x:c r="E10" s="49" t="n">
        <x:f>IF('HYPOTHESES_TCO'!$M10&lt;&gt;"VALIDE","ND",IF(ROUND('HYPOTHESES_TCO'!$D10+'HYPOTHESES_TCO'!$E10*E$5+'HYPOTHESES_TCO'!$F10*(E$5/12)+ROUND('HYPOTHESES_TCO'!$G10*'HYPOTHESES_TCO'!$I10,2)+ROUND('HYPOTHESES_TCO'!$H10*'HYPOTHESES_TCO'!$I10*E$5,2)+'HYPOTHESES_TCO'!$K10*MIN('HYPOTHESES_TCO'!$J10,E$5)+'HYPOTHESES_TCO'!$L10,2)&lt;='LIRE_D_ABORD'!$K$9,ROUND('HYPOTHESES_TCO'!$D10+'HYPOTHESES_TCO'!$E10*E$5+'HYPOTHESES_TCO'!$F10*(E$5/12)+ROUND('HYPOTHESES_TCO'!$G10*'HYPOTHESES_TCO'!$I10,2)+ROUND('HYPOTHESES_TCO'!$H10*'HYPOTHESES_TCO'!$I10*E$5,2)+'HYPOTHESES_TCO'!$K10*MIN('HYPOTHESES_TCO'!$J10,E$5)+'HYPOTHESES_TCO'!$L10,2),"STOP"))</x:f>
        <x:v>65000</x:v>
      </x:c>
      <x:c r="F10" s="23" t="str">
        <x:f>IF(COUNT(C10:E10)=3,"VALIDE",IF(COUNTIF(C10:E10,"STOP")&gt;0,"STOP","INCONNU"))</x:f>
        <x:v>VALIDE</x:v>
      </x:c>
      <x:c r="G10" s="17" t="str">
        <x:v>Exporter, archiver, informer, révoquer et satisfaire les obligations.</x:v>
      </x:c>
    </x:row>
    <x:row r="13">
      <x:c r="B13" s="30" t="str">
        <x:v>SYNTHÈSE COMPARABLE — LE MOINS CHER N’EST PAS UNE DÉCISION</x:v>
      </x:c>
      <x:c r="C13" s="30"/>
      <x:c r="D13" s="30"/>
      <x:c r="E13" s="30"/>
      <x:c r="F13" s="30"/>
      <x:c r="G13" s="30"/>
    </x:row>
    <x:row r="14" ht="34" customHeight="1">
      <x:c r="B14" s="16" t="str">
        <x:v>Horizon</x:v>
      </x:c>
      <x:c r="C14" s="16" t="n">
        <x:v>12</x:v>
      </x:c>
      <x:c r="D14" s="16" t="n">
        <x:v>36</x:v>
      </x:c>
      <x:c r="E14" s="16" t="n">
        <x:v>60</x:v>
      </x:c>
    </x:row>
    <x:row r="15" ht="34" customHeight="1">
      <x:c r="B15" s="16" t="str">
        <x:v>Minimum (€)</x:v>
      </x:c>
      <x:c r="C15" s="48" t="n">
        <x:f>MIN(C6:C10)</x:f>
        <x:v>41000</x:v>
      </x:c>
      <x:c r="D15" s="48" t="n">
        <x:f>MIN(D6:D10)</x:f>
        <x:v>53000</x:v>
      </x:c>
      <x:c r="E15" s="48" t="n">
        <x:f>MIN(E6:E10)</x:f>
        <x:v>65000</x:v>
      </x:c>
    </x:row>
    <x:row r="16" ht="34" customHeight="1">
      <x:c r="B16" s="17" t="str">
        <x:v>Trajectoire minimum</x:v>
      </x:c>
      <x:c r="C16" s="23" t="str">
        <x:f>INDEX(B6:B10,MATCH(C15,C6:C10,0))</x:f>
        <x:v>Arrêter proprement</x:v>
      </x:c>
      <x:c r="D16" s="23" t="str">
        <x:f>INDEX(B6:B10,MATCH(D15,D6:D10,0))</x:f>
        <x:v>Arrêter proprement</x:v>
      </x:c>
      <x:c r="E16" s="23" t="str">
        <x:f>INDEX(B6:B10,MATCH(E15,E6:E10,0))</x:f>
        <x:v>Arrêter proprement</x:v>
      </x:c>
    </x:row>
  </x:sheetData>
  <x:mergeCells>
    <x:mergeCell ref="A1:N2"/>
    <x:mergeCell ref="A3:N3"/>
    <x:mergeCell ref="B13:G13"/>
  </x:mergeCells>
  <x:conditionalFormatting sqref="C6:F10">
    <x:cfRule type="containsText" dxfId="66" priority="1" operator="containsText" text="STOP"/>
    <x:cfRule type="containsText" dxfId="67" priority="2" operator="containsText" text="INCONNU"/>
    <x:cfRule type="containsText" dxfId="68" priority="3" operator="containsText" text="INVALIDE"/>
    <x:cfRule type="containsText" dxfId="69" priority="4" operator="containsText" text="PASS"/>
    <x:cfRule type="containsText" dxfId="70" priority="5" operator="containsText" text="RESOLU"/>
    <x:cfRule type="containsText" dxfId="71" priority="6" operator="containsText" text="VALIDE"/>
  </x:conditionalFormatting>
  <x:pageMargins left="0.7" right="0.7" top="0.75" bottom="0.75" header="0.3" footer="0.3"/>
  <x:tableParts count="1">
    <x:tablePart xmlns:r="http://schemas.openxmlformats.org/officeDocument/2006/relationships" r:id="Rcbaf9e992bdf497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RISQUE PANNE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Coût observable séparé et perte attendue nullable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Paramètre</x:v>
      </x:c>
      <x:c r="C5" s="11" t="str">
        <x:v>Entrée</x:v>
      </x:c>
      <x:c r="D5" s="11" t="str">
        <x:v>Unité</x:v>
      </x:c>
      <x:c r="E5" s="11" t="str">
        <x:v>Limite / règle</x:v>
      </x:c>
    </x:row>
    <x:row r="6" ht="40" customHeight="1">
      <x:c r="B6" s="16" t="str">
        <x:v>Durée de panne</x:v>
      </x:c>
      <x:c r="C6" s="43" t="n">
        <x:v>8</x:v>
      </x:c>
      <x:c r="D6" s="16" t="str">
        <x:v>heures</x:v>
      </x:c>
      <x:c r="E6" s="16" t="str">
        <x:v>&gt; 0 ; ≤ 1 000 000</x:v>
      </x:c>
    </x:row>
    <x:row r="7" ht="40" customHeight="1">
      <x:c r="B7" s="16" t="str">
        <x:v>Personnes affectées</x:v>
      </x:c>
      <x:c r="C7" s="43" t="n">
        <x:v>25</x:v>
      </x:c>
      <x:c r="D7" s="16" t="str">
        <x:v>personnes</x:v>
      </x:c>
      <x:c r="E7" s="16" t="str">
        <x:v>entier &gt; 0 ; ≤ 10 000 000</x:v>
      </x:c>
    </x:row>
    <x:row r="8" ht="40" customHeight="1">
      <x:c r="B8" s="16" t="str">
        <x:v>Coût horaire chargé</x:v>
      </x:c>
      <x:c r="C8" s="43" t="n">
        <x:v>42</x:v>
      </x:c>
      <x:c r="D8" s="16" t="str">
        <x:v>€/h</x:v>
      </x:c>
      <x:c r="E8" s="16" t="str">
        <x:v>0 à 1 Md€ ; 2 décimales</x:v>
      </x:c>
    </x:row>
    <x:row r="9" ht="40" customHeight="1">
      <x:c r="B9" s="16" t="str">
        <x:v>Marge contributive perdue</x:v>
      </x:c>
      <x:c r="C9" s="43" t="n">
        <x:v>3600</x:v>
      </x:c>
      <x:c r="D9" s="16" t="str">
        <x:v>€</x:v>
      </x:c>
      <x:c r="E9" s="16" t="str">
        <x:v>0 à 1 Md€ ; 2 décimales</x:v>
      </x:c>
    </x:row>
    <x:row r="10" ht="40" customHeight="1">
      <x:c r="B10" s="16" t="str">
        <x:v>Rattrapage</x:v>
      </x:c>
      <x:c r="C10" s="43" t="n">
        <x:v>2000</x:v>
      </x:c>
      <x:c r="D10" s="16" t="str">
        <x:v>€</x:v>
      </x:c>
      <x:c r="E10" s="16" t="str">
        <x:v>0 à 1 Md€ ; 2 décimales</x:v>
      </x:c>
    </x:row>
    <x:row r="11" ht="40" customHeight="1">
      <x:c r="B11" s="16" t="str">
        <x:v>Prestataires</x:v>
      </x:c>
      <x:c r="C11" s="43" t="n">
        <x:v>1000</x:v>
      </x:c>
      <x:c r="D11" s="16" t="str">
        <x:v>€</x:v>
      </x:c>
      <x:c r="E11" s="16" t="str">
        <x:v>0 à 1 Md€ ; 2 décimales</x:v>
      </x:c>
    </x:row>
    <x:row r="12" ht="40" customHeight="1">
      <x:c r="B12" s="16" t="str">
        <x:v>Communication</x:v>
      </x:c>
      <x:c r="C12" s="43" t="n">
        <x:v>500</x:v>
      </x:c>
      <x:c r="D12" s="16" t="str">
        <x:v>€</x:v>
      </x:c>
      <x:c r="E12" s="16" t="str">
        <x:v>0 à 1 Md€ ; 2 décimales</x:v>
      </x:c>
    </x:row>
    <x:row r="13" ht="40" customHeight="1">
      <x:c r="B13" s="16" t="str">
        <x:v>Remboursements / pénalités</x:v>
      </x:c>
      <x:c r="C13" s="43" t="n">
        <x:v>500</x:v>
      </x:c>
      <x:c r="D13" s="16" t="str">
        <x:v>€</x:v>
      </x:c>
      <x:c r="E13" s="16" t="str">
        <x:v>0 à 1 Md€ ; 2 décimales</x:v>
      </x:c>
    </x:row>
    <x:row r="14" ht="40" customHeight="1">
      <x:c r="B14" s="16" t="str">
        <x:v>Probabilité annuelle</x:v>
      </x:c>
      <x:c r="C14" s="50" t="n">
        <x:v>25</x:v>
      </x:c>
      <x:c r="D14" s="16" t="str">
        <x:v>%</x:v>
      </x:c>
      <x:c r="E14" s="16" t="str">
        <x:v>nullable ; si saisie 0 à 100</x:v>
      </x:c>
    </x:row>
    <x:row r="15" ht="40" customHeight="1">
      <x:c r="B15" s="16" t="str">
        <x:v>Source / hypothèse de probabilité</x:v>
      </x:c>
      <x:c r="C15" s="19" t="str">
        <x:v>Hypothèse fictive documentée pour le cas pédagogique</x:v>
      </x:c>
      <x:c r="D15" s="16" t="str">
        <x:v>texte</x:v>
      </x:c>
      <x:c r="E15" s="16" t="str">
        <x:v>≥ 8 caractères si probabilité fournie</x:v>
      </x:c>
    </x:row>
    <x:row r="16" ht="40" customHeight="1">
      <x:c r="B16" s="17" t="str">
        <x:v>Date de probabilité</x:v>
      </x:c>
      <x:c r="C16" s="20" t="str">
        <x:v>2026-07-28</x:v>
      </x:c>
      <x:c r="D16" s="17" t="str">
        <x:v>ISO</x:v>
      </x:c>
      <x:c r="E16" s="17" t="str">
        <x:v>≤ 2026-07-28</x:v>
      </x:c>
    </x:row>
    <x:row r="18">
      <x:c r="B18" s="30" t="str">
        <x:v>CALCULS</x:v>
      </x:c>
      <x:c r="C18" s="30"/>
      <x:c r="D18" s="30"/>
      <x:c r="E18" s="30"/>
    </x:row>
    <x:row r="19" ht="40" customHeight="1">
      <x:c r="B19" s="16" t="str">
        <x:v>Capacité immobilisée (€)</x:v>
      </x:c>
      <x:c r="C19" s="48" t="n">
        <x:f>IF(COUNT(C6:C13)&lt;8,"ND",IF(AND(C6&gt;0,C6&lt;='LIRE_D_ABORD'!$K$7,ROUND(C6,'LIRE_D_ABORD'!$K$11)=C6,C7&gt;0,C7&lt;='LIRE_D_ABORD'!$K$8,INT(C7)=C7,MIN(C8:C13)&gt;=0,MAX(C8:C13)&lt;='LIRE_D_ABORD'!$K$6,ROUND(C8,'LIRE_D_ABORD'!$K$11)=C8,ROUND(C9,'LIRE_D_ABORD'!$K$11)=C9,ROUND(C10,'LIRE_D_ABORD'!$K$11)=C10,ROUND(C11,'LIRE_D_ABORD'!$K$11)=C11,ROUND(C12,'LIRE_D_ABORD'!$K$11)=C12,ROUND(C13,'LIRE_D_ABORD'!$K$11)=C13),ROUND(C6*C7*C8,2),"STOP"))</x:f>
        <x:v>8400</x:v>
      </x:c>
    </x:row>
    <x:row r="20" ht="40" customHeight="1">
      <x:c r="B20" s="16" t="str">
        <x:v>Coût observable (€)</x:v>
      </x:c>
      <x:c r="C20" s="48" t="n">
        <x:f>IF(ISNUMBER(C19),IF(ROUND(SUM(C19,C9:C13),2)&lt;='LIRE_D_ABORD'!$K$9,ROUND(SUM(C19,C9:C13),2),"STOP"),"ND")</x:f>
        <x:v>16000</x:v>
      </x:c>
    </x:row>
    <x:row r="21" ht="40" customHeight="1">
      <x:c r="B21" s="16" t="str">
        <x:v>Perte annuelle attendue (€)</x:v>
      </x:c>
      <x:c r="C21" s="48" t="n">
        <x:f>IF(C22="NON_FOURNIE","ND",IF(AND(C22="CONNUE",ISNUMBER(C20)),ROUND(C20*C14/100,2),"ND"))</x:f>
        <x:v>4000</x:v>
      </x:c>
    </x:row>
    <x:row r="22" ht="40" customHeight="1">
      <x:c r="B22" s="16" t="str">
        <x:v>État probabilité</x:v>
      </x:c>
      <x:c r="C22" s="22" t="str">
        <x:f>IF(AND(C14="",C15="",C16=""),"NON_FOURNIE",IF(AND(ISNUMBER(C14),C14&gt;=0,C14&lt;=100,ROUND(C14,'LIRE_D_ABORD'!$K$11)=C14,LEN(C15)&gt;=8,LEN(C16)=10,C16&lt;='LIRE_D_ABORD'!$C$15,C16&lt;='LIRE_D_ABORD'!$K$10),"CONNUE","INVALIDE"))</x:f>
        <x:v>CONNUE</x:v>
      </x:c>
    </x:row>
    <x:row r="23" ht="40" customHeight="1">
      <x:c r="B23" s="17" t="str">
        <x:v>Validité du bloc</x:v>
      </x:c>
      <x:c r="C23" s="23" t="str">
        <x:f>IF(AND(ISNUMBER(C20),OR(C22="CONNUE",C22="NON_FOURNIE")),"VALIDE",IF(OR(C19="STOP",C20="STOP",C22="INVALIDE"),"STOP","INCONNU"))</x:f>
        <x:v>VALIDE</x:v>
      </x:c>
    </x:row>
    <x:row r="25" ht="42" customHeight="1">
      <x:c r="B25" s="16" t="str">
        <x:v>Le coût observable est calculé même sans probabilité. Si la probabilité est absente avec source et date vides, la perte annuelle attendue reste ND — jamais 0.</x:v>
      </x:c>
      <x:c r="C25" s="16"/>
      <x:c r="D25" s="16"/>
      <x:c r="E25" s="16"/>
    </x:row>
    <x:row r="26" ht="42" customHeight="1">
      <x:c r="B26" s="16" t="str">
        <x:v>Une probabilité saisie exige une source documentée et une date ISO non future.</x:v>
      </x:c>
      <x:c r="C26" s="16"/>
      <x:c r="D26" s="16"/>
      <x:c r="E26" s="16"/>
    </x:row>
    <x:row r="27" ht="42" customHeight="1">
      <x:c r="B27" s="52" t="str">
        <x:v>EXEMPLE FICTIF : remplacer toutes les entrées avant toute utilisation décisionnelle.</x:v>
      </x:c>
      <x:c r="C27" s="52"/>
      <x:c r="D27" s="52"/>
      <x:c r="E27" s="52"/>
    </x:row>
  </x:sheetData>
  <x:mergeCells>
    <x:mergeCell ref="A1:N2"/>
    <x:mergeCell ref="A3:N3"/>
    <x:mergeCell ref="B18:E18"/>
    <x:mergeCell ref="B25:E25"/>
    <x:mergeCell ref="B26:E26"/>
    <x:mergeCell ref="B27:E27"/>
  </x:mergeCells>
  <x:conditionalFormatting sqref="C19:C23">
    <x:cfRule type="containsText" dxfId="72" priority="1" operator="containsText" text="STOP"/>
    <x:cfRule type="containsText" dxfId="73" priority="2" operator="containsText" text="INCONNU"/>
    <x:cfRule type="containsText" dxfId="74" priority="3" operator="containsText" text="INVALIDE"/>
    <x:cfRule type="containsText" dxfId="75" priority="4" operator="containsText" text="PASS"/>
    <x:cfRule type="containsText" dxfId="76" priority="5" operator="containsText" text="RESOLU"/>
    <x:cfRule type="containsText" dxfId="77" priority="6" operator="containsText" text="VALIDE"/>
  </x:conditionalFormatting>
  <x:dataValidations count="4">
    <x:dataValidation type="decimal" operator="between" sqref="C6">
      <x:formula1>0.01</x:formula1>
      <x:formula2>1000000</x:formula2>
    </x:dataValidation>
    <x:dataValidation type="whole" operator="between" sqref="C7">
      <x:formula1>1</x:formula1>
      <x:formula2>10000000</x:formula2>
    </x:dataValidation>
    <x:dataValidation type="decimal" operator="between" sqref="C8:C13">
      <x:formula1>0</x:formula1>
      <x:formula2>1000000000</x:formula2>
    </x:dataValidation>
    <x:dataValidation type="decimal" operator="between" sqref="C14">
      <x:formula1>0</x:formula1>
      <x:formula2>100</x:formula2>
    </x:dataValidation>
  </x:dataValidations>
  <x:pageMargins left="0.7" right="0.7" top="0.75" bottom="0.75" header="0.3" footer="0.3"/>
  <x:legacyDrawing xmlns:r="http://schemas.openxmlformats.org/officeDocument/2006/relationships" r:id="Rbb98af0dc1614a19"/>
  <x:tableParts count="1">
    <x:tablePart xmlns:r="http://schemas.openxmlformats.org/officeDocument/2006/relationships" r:id="R35157784c018433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DECISION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Décision sans score, conditionnée aux preuves et aux STOP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Contrôle</x:v>
      </x:c>
      <x:c r="C5" s="11" t="str">
        <x:v>Valeur</x:v>
      </x:c>
      <x:c r="D5" s="11" t="str">
        <x:v>Règle</x:v>
      </x:c>
      <x:c r="E5" s="11" t="str">
        <x:v>Effet</x:v>
      </x:c>
    </x:row>
    <x:row r="6" ht="44" customHeight="1">
      <x:c r="B6" s="16" t="str">
        <x:v>Mode</x:v>
      </x:c>
      <x:c r="C6" s="22" t="str">
        <x:f>'LIRE_D_ABORD'!$C$17</x:f>
        <x:v>normal</x:v>
      </x:c>
      <x:c r="D6" s="16" t="str">
        <x:v>normal requis ; incident/litige/autorité absente = STOP</x:v>
      </x:c>
      <x:c r="E6" s="16" t="str"/>
    </x:row>
    <x:row r="7" ht="44" customHeight="1">
      <x:c r="B7" s="16" t="str">
        <x:v>Contexte complet</x:v>
      </x:c>
      <x:c r="C7" s="22" t="str">
        <x:f>IF(AND(LEN('LIRE_D_ABORD'!$C$14)&gt;=3,LEN('LIRE_D_ABORD'!$C$15)=10,'LIRE_D_ABORD'!$C$15&lt;='LIRE_D_ABORD'!$K$10,LEN('LIRE_D_ABORD'!$C$16)&gt;=8),"COMPLET","INCOMPLET")</x:f>
        <x:v>COMPLET</x:v>
      </x:c>
      <x:c r="D7" s="16" t="str">
        <x:v>référence + date ISO + périmètre</x:v>
      </x:c>
      <x:c r="E7" s="16" t="str"/>
    </x:row>
    <x:row r="8" ht="44" customHeight="1">
      <x:c r="B8" s="16" t="str">
        <x:v>STOP bloquants</x:v>
      </x:c>
      <x:c r="C8" s="22" t="n">
        <x:f>SUM('INVENTAIRE'!$O$6:$O$14)</x:f>
        <x:v>0</x:v>
      </x:c>
      <x:c r="D8" s="16" t="str">
        <x:v>aucun</x:v>
      </x:c>
      <x:c r="E8" s="16" t="str"/>
    </x:row>
    <x:row r="9" ht="44" customHeight="1">
      <x:c r="B9" s="16" t="str">
        <x:v>Bloquants non résolus</x:v>
      </x:c>
      <x:c r="C9" s="22" t="n">
        <x:f>SUM('INVENTAIRE'!$P$6:$P$14)</x:f>
        <x:v>0</x:v>
      </x:c>
      <x:c r="D9" s="16" t="str">
        <x:v>aucun pour comparer</x:v>
      </x:c>
      <x:c r="E9" s="16" t="str"/>
    </x:row>
    <x:row r="10" ht="44" customHeight="1">
      <x:c r="B10" s="16" t="str">
        <x:v>TCO</x:v>
      </x:c>
      <x:c r="C10" s="22" t="str">
        <x:f>IF(COUNTIF('TCO_12_36_60'!$F$6:$F$10,"VALIDE")=5,"CONNU","INCOMPLET")</x:f>
        <x:v>CONNU</x:v>
      </x:c>
      <x:c r="D10" s="16" t="str">
        <x:v>5 trajectoires valides à 12/36/60</x:v>
      </x:c>
      <x:c r="E10" s="16" t="str"/>
    </x:row>
    <x:row r="11" ht="44" customHeight="1">
      <x:c r="B11" s="16" t="str">
        <x:v>Risque de panne</x:v>
      </x:c>
      <x:c r="C11" s="22" t="str">
        <x:f>'RISQUE_PANNE'!$C$23</x:f>
        <x:v>VALIDE</x:v>
      </x:c>
      <x:c r="D11" s="16" t="str">
        <x:v>observable valide ; probabilité nullable</x:v>
      </x:c>
      <x:c r="E11" s="16" t="str"/>
    </x:row>
    <x:row r="12" ht="44" customHeight="1">
      <x:c r="B12" s="16" t="str">
        <x:v>Majeurs non résolus</x:v>
      </x:c>
      <x:c r="C12" s="22" t="n">
        <x:f>SUM('INVENTAIRE'!$Q$6:$Q$14)</x:f>
        <x:v>0</x:v>
      </x:c>
      <x:c r="D12" s="16" t="str">
        <x:v>réserves ouvertes admises pour COMPARABLE</x:v>
      </x:c>
      <x:c r="E12" s="16" t="str"/>
    </x:row>
    <x:row r="13" ht="44" customHeight="1">
      <x:c r="B13" s="16" t="str">
        <x:v>Étape</x:v>
      </x:c>
      <x:c r="C13" s="22" t="str">
        <x:f>IF(OR(C6="incident",C6="dispute",C6="no-authority",C8&gt;0),"STOP",IF(OR(C6&lt;&gt;"normal",C7&lt;&gt;"COMPLET",C9&gt;0,C10&lt;&gt;"CONNU",C11&lt;&gt;"VALIDE"),"INCOMPLET",IF(C12&gt;0,"COMPARABLE","DECISION_HUMAINE")))</x:f>
        <x:v>DECISION_HUMAINE</x:v>
      </x:c>
      <x:c r="D13" s="16" t="str">
        <x:v>STOP &gt; INCOMPLET &gt; COMPARABLE &gt; DECISION_HUMAINE</x:v>
      </x:c>
      <x:c r="E13" s="16" t="str"/>
    </x:row>
    <x:row r="14" ht="44" customHeight="1">
      <x:c r="B14" s="16" t="str">
        <x:v>Valeurs fictives remplacées</x:v>
      </x:c>
      <x:c r="C14" s="22" t="str">
        <x:f>'LIRE_D_ABORD'!$C$18</x:f>
        <x:v>NON</x:v>
      </x:c>
      <x:c r="D14" s="16" t="str">
        <x:v>OUI requis pour finaliser</x:v>
      </x:c>
      <x:c r="E14" s="16" t="str"/>
    </x:row>
    <x:row r="15" ht="44" customHeight="1">
      <x:c r="B15" s="16" t="str">
        <x:v>Références sans secret</x:v>
      </x:c>
      <x:c r="C15" s="22" t="str">
        <x:f>'LIRE_D_ABORD'!$C$19</x:f>
        <x:v>NON</x:v>
      </x:c>
      <x:c r="D15" s="16" t="str">
        <x:v>OUI requis ; scan best effort</x:v>
      </x:c>
      <x:c r="E15" s="16" t="str"/>
    </x:row>
    <x:row r="16" ht="44" customHeight="1">
      <x:c r="B16" s="16" t="str">
        <x:v>Score</x:v>
      </x:c>
      <x:c r="C16" s="22" t="str">
        <x:v>AUCUN_SCORE</x:v>
      </x:c>
      <x:c r="D16" s="16" t="str">
        <x:v>aucun score ne compense un STOP</x:v>
      </x:c>
      <x:c r="E16" s="16" t="str"/>
    </x:row>
    <x:row r="17" ht="44" customHeight="1">
      <x:c r="B17" s="16" t="str">
        <x:v>Export brouillon</x:v>
      </x:c>
      <x:c r="C17" s="22" t="str">
        <x:f>IF(C15="OUI","AUTORISE_BROUILLON","BLOQUE_SECRETS")</x:f>
        <x:v>BLOQUE_SECRETS</x:v>
      </x:c>
      <x:c r="D17" s="16" t="str">
        <x:v>possible si aucune valeur sensible</x:v>
      </x:c>
      <x:c r="E17" s="16" t="str"/>
    </x:row>
    <x:row r="18" ht="44" customHeight="1">
      <x:c r="B18" s="17" t="str">
        <x:v>Finalisation</x:v>
      </x:c>
      <x:c r="C18" s="54" t="str">
        <x:f>IF(C14&lt;&gt;"OUI","BLOQUE_EXEMPLE_FICTIF",IF(C15&lt;&gt;"OUI","BLOQUE_SCAN_SECRETS",IF(OR(C13="COMPARABLE",C13="DECISION_HUMAINE"),"FINALISABLE","BLOQUE_ETAPE")))</x:f>
        <x:v>BLOQUE_EXEMPLE_FICTIF</x:v>
      </x:c>
      <x:c r="D18" s="17" t="str">
        <x:v>étape admissible + données remplacées + aucun secret</x:v>
      </x:c>
      <x:c r="E18" s="17" t="str"/>
    </x:row>
    <x:row r="21">
      <x:c r="B21" s="30" t="str">
        <x:v>ORDRE DE DÉCISION</x:v>
      </x:c>
      <x:c r="C21" s="30"/>
      <x:c r="D21" s="30"/>
      <x:c r="E21" s="30"/>
    </x:row>
    <x:row r="22" ht="48" customHeight="1">
      <x:c r="B22" s="16" t="str">
        <x:v>1</x:v>
      </x:c>
      <x:c r="C22" s="16" t="str">
        <x:v>STOP</x:v>
      </x:c>
      <x:c r="D22" s="16" t="str">
        <x:v>Suspendre les changements</x:v>
      </x:c>
      <x:c r="E22" s="16" t="str">
        <x:v>Traiter propriété, autorité, incident ou preuve bloquante en échec.</x:v>
      </x:c>
    </x:row>
    <x:row r="23" ht="48" customHeight="1">
      <x:c r="B23" s="16" t="str">
        <x:v>2</x:v>
      </x:c>
      <x:c r="C23" s="16" t="str">
        <x:v>INCOMPLET</x:v>
      </x:c>
      <x:c r="D23" s="16" t="str">
        <x:v>Compléter les faits</x:v>
      </x:c>
      <x:c r="E23" s="16" t="str">
        <x:v>Ne pas inventer les inconnues et ne pas les convertir en zéro.</x:v>
      </x:c>
    </x:row>
    <x:row r="24" ht="48" customHeight="1">
      <x:c r="B24" s="16" t="str">
        <x:v>3</x:v>
      </x:c>
      <x:c r="C24" s="16" t="str">
        <x:v>COMPARABLE</x:v>
      </x:c>
      <x:c r="D24" s="16" t="str">
        <x:v>Comparer avec réserves</x:v>
      </x:c>
      <x:c r="E24" s="16" t="str">
        <x:v>Même périmètre ; majeurs ouverts visibles.</x:v>
      </x:c>
    </x:row>
    <x:row r="25" ht="48" customHeight="1">
      <x:c r="B25" s="16" t="str">
        <x:v>4</x:v>
      </x:c>
      <x:c r="C25" s="16" t="str">
        <x:v>DECISION_HUMAINE</x:v>
      </x:c>
      <x:c r="D25" s="16" t="str">
        <x:v>Arbitrer</x:v>
      </x:c>
      <x:c r="E25" s="16" t="str">
        <x:v>Les preuves et coûts éclairent mais ne remplacent pas la décision.</x:v>
      </x:c>
    </x:row>
    <x:row r="26" ht="48" customHeight="1">
      <x:c r="B26" s="17" t="str">
        <x:v>5</x:v>
      </x:c>
      <x:c r="C26" s="17" t="str">
        <x:v>FINALISABLE</x:v>
      </x:c>
      <x:c r="D26" s="17" t="str">
        <x:v>Contrôle humain</x:v>
      </x:c>
      <x:c r="E26" s="17" t="str">
        <x:v>Confirmer remplacement des exemples et absence de secret.</x:v>
      </x:c>
    </x:row>
  </x:sheetData>
  <x:mergeCells>
    <x:mergeCell ref="A1:N2"/>
    <x:mergeCell ref="A3:N3"/>
    <x:mergeCell ref="B21:E21"/>
  </x:mergeCells>
  <x:conditionalFormatting sqref="C6:C18">
    <x:cfRule type="containsText" dxfId="78" priority="1" operator="containsText" text="STOP"/>
    <x:cfRule type="containsText" dxfId="79" priority="2" operator="containsText" text="INCONNU"/>
    <x:cfRule type="containsText" dxfId="80" priority="3" operator="containsText" text="INVALIDE"/>
    <x:cfRule type="containsText" dxfId="81" priority="4" operator="containsText" text="PASS"/>
    <x:cfRule type="containsText" dxfId="82" priority="5" operator="containsText" text="RESOLU"/>
    <x:cfRule type="containsText" dxfId="83" priority="6" operator="containsText" text="VALIDE"/>
  </x:conditionalFormatting>
  <x:pageMargins left="0.7" right="0.7" top="0.75" bottom="0.75" header="0.3" footer="0.3"/>
  <x:tableParts count="1">
    <x:tablePart xmlns:r="http://schemas.openxmlformats.org/officeDocument/2006/relationships" r:id="Rc1db60cf9dd2416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TESTS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Recette externe : mutations, adversarial et sabotages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Famille</x:v>
      </x:c>
      <x:c r="D5" s="11" t="str">
        <x:v>Cible</x:v>
      </x:c>
      <x:c r="E5" s="11" t="str">
        <x:v>Injection</x:v>
      </x:c>
      <x:c r="F5" s="11" t="str">
        <x:v>Attendu</x:v>
      </x:c>
      <x:c r="G5" s="11" t="str">
        <x:v>Exécution</x:v>
      </x:c>
      <x:c r="H5" s="11" t="str">
        <x:v>Résultat</x:v>
      </x:c>
    </x:row>
    <x:row r="6" ht="52" customHeight="1">
      <x:c r="B6" s="16" t="str">
        <x:v>MUT-01</x:v>
      </x:c>
      <x:c r="C6" s="16" t="str">
        <x:v>mutation</x:v>
      </x:c>
      <x:c r="D6" s="16" t="str">
        <x:v>HYPOTHESES_TCO!D6</x:v>
      </x:c>
      <x:c r="E6" s="16" t="str">
        <x:v>Ponctuel + 1 000 €</x:v>
      </x:c>
      <x:c r="F6" s="16" t="str">
        <x:v>TCO 12/36/60 + 1 000 €</x:v>
      </x:c>
      <x:c r="G6" s="16" t="str">
        <x:v>Validateur externe</x:v>
      </x:c>
      <x:c r="H6" s="25" t="str">
        <x:v>SPÉCIFIÉ</x:v>
      </x:c>
    </x:row>
    <x:row r="7" ht="52" customHeight="1">
      <x:c r="B7" s="16" t="str">
        <x:v>MUT-02</x:v>
      </x:c>
      <x:c r="C7" s="16" t="str">
        <x:v>mutation</x:v>
      </x:c>
      <x:c r="D7" s="16" t="str">
        <x:v>HYPOTHESES_TCO!E7</x:v>
      </x:c>
      <x:c r="E7" s="16" t="str">
        <x:v>Mensuel + 100 €</x:v>
      </x:c>
      <x:c r="F7" s="16" t="str">
        <x:v>TCO + horizon × 100 €</x:v>
      </x:c>
      <x:c r="G7" s="16" t="str">
        <x:v>Validateur externe</x:v>
      </x:c>
      <x:c r="H7" s="25" t="str">
        <x:v>SPÉCIFIÉ</x:v>
      </x:c>
    </x:row>
    <x:row r="8" ht="52" customHeight="1">
      <x:c r="B8" s="16" t="str">
        <x:v>MUT-03</x:v>
      </x:c>
      <x:c r="C8" s="16" t="str">
        <x:v>mutation</x:v>
      </x:c>
      <x:c r="D8" s="16" t="str">
        <x:v>HYPOTHESES_TCO!G8</x:v>
      </x:c>
      <x:c r="E8" s="16" t="str">
        <x:v>Heures ponctuelles + 10</x:v>
      </x:c>
      <x:c r="F8" s="16" t="str">
        <x:v>TCO + 10 × taux interne</x:v>
      </x:c>
      <x:c r="G8" s="16" t="str">
        <x:v>Validateur externe</x:v>
      </x:c>
      <x:c r="H8" s="25" t="str">
        <x:v>SPÉCIFIÉ</x:v>
      </x:c>
    </x:row>
    <x:row r="9" ht="52" customHeight="1">
      <x:c r="B9" s="16" t="str">
        <x:v>MUT-04</x:v>
      </x:c>
      <x:c r="C9" s="16" t="str">
        <x:v>mutation</x:v>
      </x:c>
      <x:c r="D9" s="16" t="str">
        <x:v>HYPOTHESES_TCO!J9</x:v>
      </x:c>
      <x:c r="E9" s="16" t="str">
        <x:v>Double run - 1 mois</x:v>
      </x:c>
      <x:c r="F9" s="16" t="str">
        <x:v>TCO - coût mensuel double run</x:v>
      </x:c>
      <x:c r="G9" s="16" t="str">
        <x:v>Validateur externe</x:v>
      </x:c>
      <x:c r="H9" s="25" t="str">
        <x:v>SPÉCIFIÉ</x:v>
      </x:c>
    </x:row>
    <x:row r="10" ht="52" customHeight="1">
      <x:c r="B10" s="16" t="str">
        <x:v>MUT-05</x:v>
      </x:c>
      <x:c r="C10" s="16" t="str">
        <x:v>mutation</x:v>
      </x:c>
      <x:c r="D10" s="16" t="str">
        <x:v>RISQUE_PANNE!C6</x:v>
      </x:c>
      <x:c r="E10" s="16" t="str">
        <x:v>Durée + 1 h</x:v>
      </x:c>
      <x:c r="F10" s="16" t="str">
        <x:v>Capacité + personnes × coût horaire</x:v>
      </x:c>
      <x:c r="G10" s="16" t="str">
        <x:v>Validateur externe</x:v>
      </x:c>
      <x:c r="H10" s="25" t="str">
        <x:v>SPÉCIFIÉ</x:v>
      </x:c>
    </x:row>
    <x:row r="11" ht="52" customHeight="1">
      <x:c r="B11" s="16" t="str">
        <x:v>MUT-06</x:v>
      </x:c>
      <x:c r="C11" s="16" t="str">
        <x:v>mutation</x:v>
      </x:c>
      <x:c r="D11" s="16" t="str">
        <x:v>HYPOTHESES_TCO!D6:L10</x:v>
      </x:c>
      <x:c r="E11" s="16" t="str">
        <x:v>Fixture décimale anti-arrondi</x:v>
      </x:c>
      <x:c r="F11" s="16" t="str">
        <x:v>15 cellules TCO strictement égales à l’oracle en centimes</x:v>
      </x:c>
      <x:c r="G11" s="16" t="str">
        <x:v>Validateur externe</x:v>
      </x:c>
      <x:c r="H11" s="25" t="str">
        <x:v>SPÉCIFIÉ</x:v>
      </x:c>
    </x:row>
    <x:row r="12" ht="52" customHeight="1">
      <x:c r="B12" s="16" t="str">
        <x:v>ADV-01</x:v>
      </x:c>
      <x:c r="C12" s="16" t="str">
        <x:v>adversarial</x:v>
      </x:c>
      <x:c r="D12" s="16" t="str">
        <x:v>HYPOTHESES_TCO!D6</x:v>
      </x:c>
      <x:c r="E12" s="16" t="str">
        <x:v>vide</x:v>
      </x:c>
      <x:c r="F12" s="16" t="str">
        <x:v>INCONNU ; TCO ND</x:v>
      </x:c>
      <x:c r="G12" s="16" t="str">
        <x:v>Validateur externe</x:v>
      </x:c>
      <x:c r="H12" s="25" t="str">
        <x:v>SPÉCIFIÉ</x:v>
      </x:c>
    </x:row>
    <x:row r="13" ht="52" customHeight="1">
      <x:c r="B13" s="16" t="str">
        <x:v>ADV-02</x:v>
      </x:c>
      <x:c r="C13" s="16" t="str">
        <x:v>adversarial</x:v>
      </x:c>
      <x:c r="D13" s="16" t="str">
        <x:v>HYPOTHESES_TCO!D6</x:v>
      </x:c>
      <x:c r="E13" s="16" t="str">
        <x:v>-1</x:v>
      </x:c>
      <x:c r="F13" s="16" t="str">
        <x:v>STOP</x:v>
      </x:c>
      <x:c r="G13" s="16" t="str">
        <x:v>Validateur externe</x:v>
      </x:c>
      <x:c r="H13" s="25" t="str">
        <x:v>SPÉCIFIÉ</x:v>
      </x:c>
    </x:row>
    <x:row r="14" ht="52" customHeight="1">
      <x:c r="B14" s="16" t="str">
        <x:v>ADV-03</x:v>
      </x:c>
      <x:c r="C14" s="16" t="str">
        <x:v>adversarial</x:v>
      </x:c>
      <x:c r="D14" s="16" t="str">
        <x:v>HYPOTHESES_TCO!D6</x:v>
      </x:c>
      <x:c r="E14" s="16" t="str">
        <x:v>1 000 000 000,01</x:v>
      </x:c>
      <x:c r="F14" s="16" t="str">
        <x:v>STOP</x:v>
      </x:c>
      <x:c r="G14" s="16" t="str">
        <x:v>Validateur externe</x:v>
      </x:c>
      <x:c r="H14" s="25" t="str">
        <x:v>SPÉCIFIÉ</x:v>
      </x:c>
    </x:row>
    <x:row r="15" ht="52" customHeight="1">
      <x:c r="B15" s="16" t="str">
        <x:v>ADV-04</x:v>
      </x:c>
      <x:c r="C15" s="16" t="str">
        <x:v>adversarial</x:v>
      </x:c>
      <x:c r="D15" s="16" t="str">
        <x:v>HYPOTHESES_TCO!J6</x:v>
      </x:c>
      <x:c r="E15" s="16" t="str">
        <x:v>1,5</x:v>
      </x:c>
      <x:c r="F15" s="16" t="str">
        <x:v>STOP car mois entier</x:v>
      </x:c>
      <x:c r="G15" s="16" t="str">
        <x:v>Validateur externe</x:v>
      </x:c>
      <x:c r="H15" s="25" t="str">
        <x:v>SPÉCIFIÉ</x:v>
      </x:c>
    </x:row>
    <x:row r="16" ht="52" customHeight="1">
      <x:c r="B16" s="16" t="str">
        <x:v>ADV-05</x:v>
      </x:c>
      <x:c r="C16" s="16" t="str">
        <x:v>adversarial</x:v>
      </x:c>
      <x:c r="D16" s="16" t="str">
        <x:v>RISQUE_PANNE!C7</x:v>
      </x:c>
      <x:c r="E16" s="16" t="str">
        <x:v>1,5</x:v>
      </x:c>
      <x:c r="F16" s="16" t="str">
        <x:v>STOP car compte entier</x:v>
      </x:c>
      <x:c r="G16" s="16" t="str">
        <x:v>Validateur externe</x:v>
      </x:c>
      <x:c r="H16" s="25" t="str">
        <x:v>SPÉCIFIÉ</x:v>
      </x:c>
    </x:row>
    <x:row r="17" ht="52" customHeight="1">
      <x:c r="B17" s="16" t="str">
        <x:v>ADV-06</x:v>
      </x:c>
      <x:c r="C17" s="16" t="str">
        <x:v>adversarial</x:v>
      </x:c>
      <x:c r="D17" s="16" t="str">
        <x:v>RISQUE_PANNE!C14</x:v>
      </x:c>
      <x:c r="E17" s="16" t="str">
        <x:v>25,123</x:v>
      </x:c>
      <x:c r="F17" s="16" t="str">
        <x:v>Probabilité INVALIDE : plus de deux décimales</x:v>
      </x:c>
      <x:c r="G17" s="16" t="str">
        <x:v>Validateur externe</x:v>
      </x:c>
      <x:c r="H17" s="25" t="str">
        <x:v>SPÉCIFIÉ</x:v>
      </x:c>
    </x:row>
    <x:row r="18" ht="52" customHeight="1">
      <x:c r="B18" s="16" t="str">
        <x:v>ADV-07</x:v>
      </x:c>
      <x:c r="C18" s="16" t="str">
        <x:v>adversarial</x:v>
      </x:c>
      <x:c r="D18" s="16" t="str">
        <x:v>RISQUE_PANNE!C14:C16</x:v>
      </x:c>
      <x:c r="E18" s="16" t="str">
        <x:v>probabilité vide + métadonnées</x:v>
      </x:c>
      <x:c r="F18" s="16" t="str">
        <x:v>INVALIDE</x:v>
      </x:c>
      <x:c r="G18" s="16" t="str">
        <x:v>Validateur externe</x:v>
      </x:c>
      <x:c r="H18" s="25" t="str">
        <x:v>SPÉCIFIÉ</x:v>
      </x:c>
    </x:row>
    <x:row r="19" ht="52" customHeight="1">
      <x:c r="B19" s="16" t="str">
        <x:v>ADV-08</x:v>
      </x:c>
      <x:c r="C19" s="16" t="str">
        <x:v>adversarial</x:v>
      </x:c>
      <x:c r="D19" s="16" t="str">
        <x:v>INVENTAIRE!H6</x:v>
      </x:c>
      <x:c r="E19" s="16" t="str">
        <x:v>failed</x:v>
      </x:c>
      <x:c r="F19" s="16" t="str">
        <x:v>STOP</x:v>
      </x:c>
      <x:c r="G19" s="16" t="str">
        <x:v>Validateur externe</x:v>
      </x:c>
      <x:c r="H19" s="25" t="str">
        <x:v>SPÉCIFIÉ</x:v>
      </x:c>
    </x:row>
    <x:row r="20" ht="52" customHeight="1">
      <x:c r="B20" s="16" t="str">
        <x:v>ADV-09</x:v>
      </x:c>
      <x:c r="C20" s="16" t="str">
        <x:v>adversarial</x:v>
      </x:c>
      <x:c r="D20" s="16" t="str">
        <x:v>INVENTAIRE!H6</x:v>
      </x:c>
      <x:c r="E20" s="16" t="str">
        <x:v>NA non permis</x:v>
      </x:c>
      <x:c r="F20" s="16" t="str">
        <x:v>STOP</x:v>
      </x:c>
      <x:c r="G20" s="16" t="str">
        <x:v>Validateur externe</x:v>
      </x:c>
      <x:c r="H20" s="25" t="str">
        <x:v>SPÉCIFIÉ</x:v>
      </x:c>
    </x:row>
    <x:row r="21" ht="52" customHeight="1">
      <x:c r="B21" s="16" t="str">
        <x:v>ADV-10</x:v>
      </x:c>
      <x:c r="C21" s="16" t="str">
        <x:v>adversarial</x:v>
      </x:c>
      <x:c r="D21" s="16" t="str">
        <x:v>LIRE_D_ABORD!C17</x:v>
      </x:c>
      <x:c r="E21" s="16" t="str">
        <x:v>incident</x:v>
      </x:c>
      <x:c r="F21" s="16" t="str">
        <x:v>STOP</x:v>
      </x:c>
      <x:c r="G21" s="16" t="str">
        <x:v>Validateur externe</x:v>
      </x:c>
      <x:c r="H21" s="25" t="str">
        <x:v>SPÉCIFIÉ</x:v>
      </x:c>
    </x:row>
    <x:row r="22" ht="52" customHeight="1">
      <x:c r="B22" s="16" t="str">
        <x:v>SAB-01</x:v>
      </x:c>
      <x:c r="C22" s="16" t="str">
        <x:v>sabotage</x:v>
      </x:c>
      <x:c r="D22" s="16" t="str">
        <x:v>TCO_12_36_60!C6</x:v>
      </x:c>
      <x:c r="E22" s="16" t="str">
        <x:v>remplacer formule par 1</x:v>
      </x:c>
      <x:c r="F22" s="16" t="str">
        <x:v>CONTROLES = FAIL</x:v>
      </x:c>
      <x:c r="G22" s="16" t="str">
        <x:v>Validateur externe</x:v>
      </x:c>
      <x:c r="H22" s="25" t="str">
        <x:v>SPÉCIFIÉ</x:v>
      </x:c>
    </x:row>
    <x:row r="23" ht="52" customHeight="1">
      <x:c r="B23" s="16" t="str">
        <x:v>SAB-02</x:v>
      </x:c>
      <x:c r="C23" s="16" t="str">
        <x:v>sabotage</x:v>
      </x:c>
      <x:c r="D23" s="16" t="str">
        <x:v>TCO_12_36_60!D6</x:v>
      </x:c>
      <x:c r="E23" s="16" t="str">
        <x:v>remplacer formule par 1</x:v>
      </x:c>
      <x:c r="F23" s="16" t="str">
        <x:v>CONTROLES = FAIL</x:v>
      </x:c>
      <x:c r="G23" s="16" t="str">
        <x:v>Validateur externe</x:v>
      </x:c>
      <x:c r="H23" s="25" t="str">
        <x:v>SPÉCIFIÉ</x:v>
      </x:c>
    </x:row>
    <x:row r="24" ht="52" customHeight="1">
      <x:c r="B24" s="16" t="str">
        <x:v>SAB-03</x:v>
      </x:c>
      <x:c r="C24" s="16" t="str">
        <x:v>sabotage</x:v>
      </x:c>
      <x:c r="D24" s="16" t="str">
        <x:v>TCO_12_36_60!E6</x:v>
      </x:c>
      <x:c r="E24" s="16" t="str">
        <x:v>remplacer formule par 1</x:v>
      </x:c>
      <x:c r="F24" s="16" t="str">
        <x:v>CONTROLES = FAIL</x:v>
      </x:c>
      <x:c r="G24" s="16" t="str">
        <x:v>Validateur externe</x:v>
      </x:c>
      <x:c r="H24" s="25" t="str">
        <x:v>SPÉCIFIÉ</x:v>
      </x:c>
    </x:row>
    <x:row r="25" ht="52" customHeight="1">
      <x:c r="B25" s="16" t="str">
        <x:v>SAB-04</x:v>
      </x:c>
      <x:c r="C25" s="16" t="str">
        <x:v>sabotage</x:v>
      </x:c>
      <x:c r="D25" s="16" t="str">
        <x:v>TCO_12_36_60!C7</x:v>
      </x:c>
      <x:c r="E25" s="16" t="str">
        <x:v>remplacer formule par 1</x:v>
      </x:c>
      <x:c r="F25" s="16" t="str">
        <x:v>CONTROLES = FAIL</x:v>
      </x:c>
      <x:c r="G25" s="16" t="str">
        <x:v>Validateur externe</x:v>
      </x:c>
      <x:c r="H25" s="25" t="str">
        <x:v>SPÉCIFIÉ</x:v>
      </x:c>
    </x:row>
    <x:row r="26" ht="52" customHeight="1">
      <x:c r="B26" s="16" t="str">
        <x:v>SAB-05</x:v>
      </x:c>
      <x:c r="C26" s="16" t="str">
        <x:v>sabotage</x:v>
      </x:c>
      <x:c r="D26" s="16" t="str">
        <x:v>TCO_12_36_60!D7</x:v>
      </x:c>
      <x:c r="E26" s="16" t="str">
        <x:v>remplacer formule par 1</x:v>
      </x:c>
      <x:c r="F26" s="16" t="str">
        <x:v>CONTROLES = FAIL</x:v>
      </x:c>
      <x:c r="G26" s="16" t="str">
        <x:v>Validateur externe</x:v>
      </x:c>
      <x:c r="H26" s="25" t="str">
        <x:v>SPÉCIFIÉ</x:v>
      </x:c>
    </x:row>
    <x:row r="27" ht="52" customHeight="1">
      <x:c r="B27" s="16" t="str">
        <x:v>SAB-06</x:v>
      </x:c>
      <x:c r="C27" s="16" t="str">
        <x:v>sabotage</x:v>
      </x:c>
      <x:c r="D27" s="16" t="str">
        <x:v>TCO_12_36_60!E7</x:v>
      </x:c>
      <x:c r="E27" s="16" t="str">
        <x:v>remplacer formule par 1</x:v>
      </x:c>
      <x:c r="F27" s="16" t="str">
        <x:v>CONTROLES = FAIL</x:v>
      </x:c>
      <x:c r="G27" s="16" t="str">
        <x:v>Validateur externe</x:v>
      </x:c>
      <x:c r="H27" s="25" t="str">
        <x:v>SPÉCIFIÉ</x:v>
      </x:c>
    </x:row>
    <x:row r="28" ht="52" customHeight="1">
      <x:c r="B28" s="16" t="str">
        <x:v>SAB-07</x:v>
      </x:c>
      <x:c r="C28" s="16" t="str">
        <x:v>sabotage</x:v>
      </x:c>
      <x:c r="D28" s="16" t="str">
        <x:v>TCO_12_36_60!C8</x:v>
      </x:c>
      <x:c r="E28" s="16" t="str">
        <x:v>remplacer formule par 1</x:v>
      </x:c>
      <x:c r="F28" s="16" t="str">
        <x:v>CONTROLES = FAIL</x:v>
      </x:c>
      <x:c r="G28" s="16" t="str">
        <x:v>Validateur externe</x:v>
      </x:c>
      <x:c r="H28" s="25" t="str">
        <x:v>SPÉCIFIÉ</x:v>
      </x:c>
    </x:row>
    <x:row r="29" ht="52" customHeight="1">
      <x:c r="B29" s="16" t="str">
        <x:v>SAB-08</x:v>
      </x:c>
      <x:c r="C29" s="16" t="str">
        <x:v>sabotage</x:v>
      </x:c>
      <x:c r="D29" s="16" t="str">
        <x:v>TCO_12_36_60!D8</x:v>
      </x:c>
      <x:c r="E29" s="16" t="str">
        <x:v>remplacer formule par 1</x:v>
      </x:c>
      <x:c r="F29" s="16" t="str">
        <x:v>CONTROLES = FAIL</x:v>
      </x:c>
      <x:c r="G29" s="16" t="str">
        <x:v>Validateur externe</x:v>
      </x:c>
      <x:c r="H29" s="25" t="str">
        <x:v>SPÉCIFIÉ</x:v>
      </x:c>
    </x:row>
    <x:row r="30" ht="52" customHeight="1">
      <x:c r="B30" s="16" t="str">
        <x:v>SAB-09</x:v>
      </x:c>
      <x:c r="C30" s="16" t="str">
        <x:v>sabotage</x:v>
      </x:c>
      <x:c r="D30" s="16" t="str">
        <x:v>TCO_12_36_60!E8</x:v>
      </x:c>
      <x:c r="E30" s="16" t="str">
        <x:v>remplacer formule par 1</x:v>
      </x:c>
      <x:c r="F30" s="16" t="str">
        <x:v>CONTROLES = FAIL</x:v>
      </x:c>
      <x:c r="G30" s="16" t="str">
        <x:v>Validateur externe</x:v>
      </x:c>
      <x:c r="H30" s="25" t="str">
        <x:v>SPÉCIFIÉ</x:v>
      </x:c>
    </x:row>
    <x:row r="31" ht="52" customHeight="1">
      <x:c r="B31" s="16" t="str">
        <x:v>SAB-10</x:v>
      </x:c>
      <x:c r="C31" s="16" t="str">
        <x:v>sabotage</x:v>
      </x:c>
      <x:c r="D31" s="16" t="str">
        <x:v>TCO_12_36_60!C9</x:v>
      </x:c>
      <x:c r="E31" s="16" t="str">
        <x:v>remplacer formule par 1</x:v>
      </x:c>
      <x:c r="F31" s="16" t="str">
        <x:v>CONTROLES = FAIL</x:v>
      </x:c>
      <x:c r="G31" s="16" t="str">
        <x:v>Validateur externe</x:v>
      </x:c>
      <x:c r="H31" s="25" t="str">
        <x:v>SPÉCIFIÉ</x:v>
      </x:c>
    </x:row>
    <x:row r="32" ht="52" customHeight="1">
      <x:c r="B32" s="16" t="str">
        <x:v>SAB-11</x:v>
      </x:c>
      <x:c r="C32" s="16" t="str">
        <x:v>sabotage</x:v>
      </x:c>
      <x:c r="D32" s="16" t="str">
        <x:v>TCO_12_36_60!D9</x:v>
      </x:c>
      <x:c r="E32" s="16" t="str">
        <x:v>remplacer formule par 1</x:v>
      </x:c>
      <x:c r="F32" s="16" t="str">
        <x:v>CONTROLES = FAIL</x:v>
      </x:c>
      <x:c r="G32" s="16" t="str">
        <x:v>Validateur externe</x:v>
      </x:c>
      <x:c r="H32" s="25" t="str">
        <x:v>SPÉCIFIÉ</x:v>
      </x:c>
    </x:row>
    <x:row r="33" ht="52" customHeight="1">
      <x:c r="B33" s="16" t="str">
        <x:v>SAB-12</x:v>
      </x:c>
      <x:c r="C33" s="16" t="str">
        <x:v>sabotage</x:v>
      </x:c>
      <x:c r="D33" s="16" t="str">
        <x:v>TCO_12_36_60!E9</x:v>
      </x:c>
      <x:c r="E33" s="16" t="str">
        <x:v>remplacer formule par 1</x:v>
      </x:c>
      <x:c r="F33" s="16" t="str">
        <x:v>CONTROLES = FAIL</x:v>
      </x:c>
      <x:c r="G33" s="16" t="str">
        <x:v>Validateur externe</x:v>
      </x:c>
      <x:c r="H33" s="25" t="str">
        <x:v>SPÉCIFIÉ</x:v>
      </x:c>
    </x:row>
    <x:row r="34" ht="52" customHeight="1">
      <x:c r="B34" s="16" t="str">
        <x:v>SAB-13</x:v>
      </x:c>
      <x:c r="C34" s="16" t="str">
        <x:v>sabotage</x:v>
      </x:c>
      <x:c r="D34" s="16" t="str">
        <x:v>TCO_12_36_60!C10</x:v>
      </x:c>
      <x:c r="E34" s="16" t="str">
        <x:v>remplacer formule par 1</x:v>
      </x:c>
      <x:c r="F34" s="16" t="str">
        <x:v>CONTROLES = FAIL</x:v>
      </x:c>
      <x:c r="G34" s="16" t="str">
        <x:v>Validateur externe</x:v>
      </x:c>
      <x:c r="H34" s="25" t="str">
        <x:v>SPÉCIFIÉ</x:v>
      </x:c>
    </x:row>
    <x:row r="35" ht="52" customHeight="1">
      <x:c r="B35" s="16" t="str">
        <x:v>SAB-14</x:v>
      </x:c>
      <x:c r="C35" s="16" t="str">
        <x:v>sabotage</x:v>
      </x:c>
      <x:c r="D35" s="16" t="str">
        <x:v>TCO_12_36_60!D10</x:v>
      </x:c>
      <x:c r="E35" s="16" t="str">
        <x:v>remplacer formule par 1</x:v>
      </x:c>
      <x:c r="F35" s="16" t="str">
        <x:v>CONTROLES = FAIL</x:v>
      </x:c>
      <x:c r="G35" s="16" t="str">
        <x:v>Validateur externe</x:v>
      </x:c>
      <x:c r="H35" s="25" t="str">
        <x:v>SPÉCIFIÉ</x:v>
      </x:c>
    </x:row>
    <x:row r="36" ht="52" customHeight="1">
      <x:c r="B36" s="16" t="str">
        <x:v>SAB-15</x:v>
      </x:c>
      <x:c r="C36" s="16" t="str">
        <x:v>sabotage</x:v>
      </x:c>
      <x:c r="D36" s="16" t="str">
        <x:v>TCO_12_36_60!E10</x:v>
      </x:c>
      <x:c r="E36" s="16" t="str">
        <x:v>remplacer formule par 1</x:v>
      </x:c>
      <x:c r="F36" s="16" t="str">
        <x:v>CONTROLES = FAIL</x:v>
      </x:c>
      <x:c r="G36" s="16" t="str">
        <x:v>Validateur externe</x:v>
      </x:c>
      <x:c r="H36" s="25" t="str">
        <x:v>SPÉCIFIÉ</x:v>
      </x:c>
    </x:row>
    <x:row r="37" ht="52" customHeight="1">
      <x:c r="B37" s="16" t="str">
        <x:v>SAB-16</x:v>
      </x:c>
      <x:c r="C37" s="16" t="str">
        <x:v>sabotage</x:v>
      </x:c>
      <x:c r="D37" s="16" t="str">
        <x:v>RISQUE_PANNE!C19</x:v>
      </x:c>
      <x:c r="E37" s="16" t="str">
        <x:v>remplacer formule par 1</x:v>
      </x:c>
      <x:c r="F37" s="16" t="str">
        <x:v>CONTROLES = FAIL</x:v>
      </x:c>
      <x:c r="G37" s="16" t="str">
        <x:v>Validateur externe</x:v>
      </x:c>
      <x:c r="H37" s="25" t="str">
        <x:v>SPÉCIFIÉ</x:v>
      </x:c>
    </x:row>
    <x:row r="38" ht="52" customHeight="1">
      <x:c r="B38" s="16" t="str">
        <x:v>SAB-17</x:v>
      </x:c>
      <x:c r="C38" s="16" t="str">
        <x:v>sabotage</x:v>
      </x:c>
      <x:c r="D38" s="16" t="str">
        <x:v>RISQUE_PANNE!C20</x:v>
      </x:c>
      <x:c r="E38" s="16" t="str">
        <x:v>remplacer formule par 1</x:v>
      </x:c>
      <x:c r="F38" s="16" t="str">
        <x:v>CONTROLES = FAIL</x:v>
      </x:c>
      <x:c r="G38" s="16" t="str">
        <x:v>Validateur externe</x:v>
      </x:c>
      <x:c r="H38" s="25" t="str">
        <x:v>SPÉCIFIÉ</x:v>
      </x:c>
    </x:row>
    <x:row r="39" ht="52" customHeight="1">
      <x:c r="B39" s="16" t="str">
        <x:v>SAB-18</x:v>
      </x:c>
      <x:c r="C39" s="16" t="str">
        <x:v>sabotage</x:v>
      </x:c>
      <x:c r="D39" s="16" t="str">
        <x:v>RISQUE_PANNE!C21</x:v>
      </x:c>
      <x:c r="E39" s="16" t="str">
        <x:v>remplacer formule par 1</x:v>
      </x:c>
      <x:c r="F39" s="16" t="str">
        <x:v>CONTROLES = FAIL</x:v>
      </x:c>
      <x:c r="G39" s="16" t="str">
        <x:v>Validateur externe</x:v>
      </x:c>
      <x:c r="H39" s="25" t="str">
        <x:v>SPÉCIFIÉ</x:v>
      </x:c>
    </x:row>
    <x:row r="40" ht="52" customHeight="1">
      <x:c r="B40" s="16" t="str">
        <x:v>SAB-19</x:v>
      </x:c>
      <x:c r="C40" s="16" t="str">
        <x:v>sabotage</x:v>
      </x:c>
      <x:c r="D40" s="16" t="str">
        <x:v>RISQUE_PANNE!C22</x:v>
      </x:c>
      <x:c r="E40" s="16" t="str">
        <x:v>remplacer formule par 1</x:v>
      </x:c>
      <x:c r="F40" s="16" t="str">
        <x:v>CONTROLES = FAIL</x:v>
      </x:c>
      <x:c r="G40" s="16" t="str">
        <x:v>Validateur externe</x:v>
      </x:c>
      <x:c r="H40" s="25" t="str">
        <x:v>SPÉCIFIÉ</x:v>
      </x:c>
    </x:row>
    <x:row r="41" ht="52" customHeight="1">
      <x:c r="B41" s="17" t="str">
        <x:v>SAB-20</x:v>
      </x:c>
      <x:c r="C41" s="17" t="str">
        <x:v>sabotage</x:v>
      </x:c>
      <x:c r="D41" s="17" t="str">
        <x:v>RISQUE_PANNE!C23</x:v>
      </x:c>
      <x:c r="E41" s="17" t="str">
        <x:v>remplacer formule par 1</x:v>
      </x:c>
      <x:c r="F41" s="17" t="str">
        <x:v>CONTROLES = FAIL</x:v>
      </x:c>
      <x:c r="G41" s="17" t="str">
        <x:v>Validateur externe</x:v>
      </x:c>
      <x:c r="H41" s="52" t="str">
        <x:v>SPÉCIFIÉ</x:v>
      </x:c>
    </x:row>
    <x:row r="43">
      <x:c r="B43" s="30" t="str">
        <x:v>PORTÉE</x:v>
      </x:c>
      <x:c r="C43" s="30"/>
      <x:c r="D43" s="30"/>
      <x:c r="E43" s="30"/>
      <x:c r="F43" s="30"/>
      <x:c r="G43" s="30"/>
      <x:c r="H43" s="30"/>
    </x:row>
    <x:row r="44" ht="48" customHeight="1">
      <x:c r="B44" s="16" t="str">
        <x:v>Le rapport de validation réimporte les deux copies, calcule un oracle indépendant, exécute ces 36 scénarios et scanne les erreurs de formule. Ces lignes décrivent la recette ; elles ne prétendent pas être l’exécution elle-même.</x:v>
      </x:c>
      <x:c r="C44" s="16"/>
      <x:c r="D44" s="16"/>
      <x:c r="E44" s="16"/>
      <x:c r="F44" s="16"/>
      <x:c r="G44" s="16"/>
      <x:c r="H44" s="16"/>
    </x:row>
    <x:row r="45" ht="48" customHeight="1">
      <x:c r="B45" s="17"/>
      <x:c r="C45" s="17"/>
      <x:c r="D45" s="17"/>
      <x:c r="E45" s="17"/>
      <x:c r="F45" s="17"/>
      <x:c r="G45" s="17"/>
      <x:c r="H45" s="17"/>
    </x:row>
  </x:sheetData>
  <x:mergeCells>
    <x:mergeCell ref="A1:N2"/>
    <x:mergeCell ref="A3:N3"/>
    <x:mergeCell ref="B43:H43"/>
    <x:mergeCell ref="B44:H45"/>
  </x:mergeCells>
  <x:pageMargins left="0.7" right="0.7" top="0.75" bottom="0.75" header="0.3" footer="0.3"/>
  <x:tableParts count="1">
    <x:tablePart xmlns:r="http://schemas.openxmlformats.org/officeDocument/2006/relationships" r:id="R591060145ad64d9d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  <x:selection pane="bottomLef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CONTROLES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Contrôles indépendants, bornes et statut du modèle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30" customHeight="1">
      <x:c r="B4" s="57" t="str">
        <x:f>IF(COUNTIF(F6:F37,"FAIL")=0,"MODEL STATUS: PASS","MODEL STATUS: FAIL")</x:f>
        <x:v>MODEL STATUS: PASS</x:v>
      </x:c>
      <x:c r="C4" s="57"/>
      <x:c r="D4" s="57"/>
      <x:c r="E4" s="57"/>
      <x:c r="F4" s="57"/>
      <x:c r="G4" s="57"/>
      <x:c r="H4" s="57"/>
    </x:row>
    <x:row r="5" ht="34" customHeight="1">
      <x:c r="B5" s="11" t="str">
        <x:v>Contrôle</x:v>
      </x:c>
      <x:c r="C5" s="11" t="str">
        <x:v>Réel</x:v>
      </x:c>
      <x:c r="D5" s="11" t="str">
        <x:v>Attendu</x:v>
      </x:c>
      <x:c r="E5" s="11" t="str">
        <x:v>Tolérance</x:v>
      </x:c>
      <x:c r="F5" s="11" t="str">
        <x:v>Statut</x:v>
      </x:c>
      <x:c r="G5" s="11" t="str">
        <x:v>Où corriger</x:v>
      </x:c>
      <x:c r="H5" s="11" t="str">
        <x:v>Note</x:v>
      </x:c>
    </x:row>
    <x:row r="6" ht="42" customHeight="1">
      <x:c r="B6" s="16" t="str">
        <x:v>Domaines de preuve</x:v>
      </x:c>
      <x:c r="C6" s="22" t="n">
        <x:f>COUNTA('INVENTAIRE'!$B$6:$B$14)</x:f>
        <x:v>9</x:v>
      </x:c>
      <x:c r="D6" s="16" t="n">
        <x:v>9</x:v>
      </x:c>
      <x:c r="E6" s="16" t="n">
        <x:v>0</x:v>
      </x:c>
      <x:c r="F6" s="22" t="str">
        <x:f>IF(AND(ISNUMBER(C6),ISNUMBER(D6)),IF(ABS(C6-D6)&lt;=E6,"PASS","FAIL"),IF(C6=D6,"PASS","FAIL"))</x:f>
        <x:v>PASS</x:v>
      </x:c>
      <x:c r="G6" s="16" t="str">
        <x:v>INVENTAIRE</x:v>
      </x:c>
      <x:c r="H6" s="16" t="str">
        <x:v>Dataset canonique</x:v>
      </x:c>
    </x:row>
    <x:row r="7" ht="42" customHeight="1">
      <x:c r="B7" s="16" t="str">
        <x:v>Faits plateformes</x:v>
      </x:c>
      <x:c r="C7" s="22" t="n">
        <x:f>COUNTA('SOURCE_BUILD'!$B$6:$B$32)</x:f>
        <x:v>27</x:v>
      </x:c>
      <x:c r="D7" s="16" t="n">
        <x:v>27</x:v>
      </x:c>
      <x:c r="E7" s="16" t="n">
        <x:v>0</x:v>
      </x:c>
      <x:c r="F7" s="22" t="str">
        <x:f>IF(AND(ISNUMBER(C7),ISNUMBER(D7)),IF(ABS(C7-D7)&lt;=E7,"PASS","FAIL"),IF(C7=D7,"PASS","FAIL"))</x:f>
        <x:v>PASS</x:v>
      </x:c>
      <x:c r="G7" s="16" t="str">
        <x:v>SOURCE_BUILD</x:v>
      </x:c>
      <x:c r="H7" s="16" t="str">
        <x:v>Dataset canonique dynamique</x:v>
      </x:c>
    </x:row>
    <x:row r="8" ht="42" customHeight="1">
      <x:c r="B8" s="16" t="str">
        <x:v>Sources officielles</x:v>
      </x:c>
      <x:c r="C8" s="22" t="n">
        <x:f>COUNTA('SOURCES'!$B$6:$B$42)</x:f>
        <x:v>37</x:v>
      </x:c>
      <x:c r="D8" s="16" t="n">
        <x:v>37</x:v>
      </x:c>
      <x:c r="E8" s="16" t="n">
        <x:v>0</x:v>
      </x:c>
      <x:c r="F8" s="22" t="str">
        <x:f>IF(AND(ISNUMBER(C8),ISNUMBER(D8)),IF(ABS(C8-D8)&lt;=E8,"PASS","FAIL"),IF(C8=D8,"PASS","FAIL"))</x:f>
        <x:v>PASS</x:v>
      </x:c>
      <x:c r="G8" s="16" t="str">
        <x:v>SOURCES</x:v>
      </x:c>
      <x:c r="H8" s="16" t="str">
        <x:v>Dataset canonique dynamique</x:v>
      </x:c>
    </x:row>
    <x:row r="9" ht="42" customHeight="1">
      <x:c r="B9" s="16" t="str">
        <x:v>Preuves fictives résolues</x:v>
      </x:c>
      <x:c r="C9" s="22" t="n">
        <x:f>COUNTIF('INVENTAIRE'!$N$6:$N$14,"RESOLU")</x:f>
        <x:v>9</x:v>
      </x:c>
      <x:c r="D9" s="16" t="n">
        <x:v>9</x:v>
      </x:c>
      <x:c r="E9" s="16" t="n">
        <x:v>0</x:v>
      </x:c>
      <x:c r="F9" s="22" t="str">
        <x:f>IF(AND(ISNUMBER(C9),ISNUMBER(D9)),IF(ABS(C9-D9)&lt;=E9,"PASS","FAIL"),IF(C9=D9,"PASS","FAIL"))</x:f>
        <x:v>PASS</x:v>
      </x:c>
      <x:c r="G9" s="16" t="str">
        <x:v>INVENTAIRE</x:v>
      </x:c>
      <x:c r="H9" s="16" t="str">
        <x:v>Seulement pour tester le moteur</x:v>
      </x:c>
    </x:row>
    <x:row r="10" ht="42" customHeight="1">
      <x:c r="B10" s="16" t="str">
        <x:v>TCO Conserver 12 mois</x:v>
      </x:c>
      <x:c r="C10" s="22" t="n">
        <x:f>'TCO_12_36_60'!$C$6</x:f>
        <x:v>50000</x:v>
      </x:c>
      <x:c r="D10" s="16" t="n">
        <x:v>50000</x:v>
      </x:c>
      <x:c r="E10" s="16" t="n">
        <x:v>0.01</x:v>
      </x:c>
      <x:c r="F10" s="22" t="str">
        <x:f>IF(AND(ISNUMBER(C10),ISNUMBER(D10)),IF(ABS(C10-D10)&lt;=E10,"PASS","FAIL"),IF(C10=D10,"PASS","FAIL"))</x:f>
        <x:v>PASS</x:v>
      </x:c>
      <x:c r="G10" s="16" t="str">
        <x:v>TCO_12_36_60!C6</x:v>
      </x:c>
      <x:c r="H10" s="16" t="str">
        <x:v>Oracle indépendant</x:v>
      </x:c>
    </x:row>
    <x:row r="11" ht="42" customHeight="1">
      <x:c r="B11" s="16" t="str">
        <x:v>TCO Conserver 36 mois</x:v>
      </x:c>
      <x:c r="C11" s="22" t="n">
        <x:f>'TCO_12_36_60'!$D$6</x:f>
        <x:v>110000</x:v>
      </x:c>
      <x:c r="D11" s="16" t="n">
        <x:v>110000</x:v>
      </x:c>
      <x:c r="E11" s="16" t="n">
        <x:v>0.01</x:v>
      </x:c>
      <x:c r="F11" s="22" t="str">
        <x:f>IF(AND(ISNUMBER(C11),ISNUMBER(D11)),IF(ABS(C11-D11)&lt;=E11,"PASS","FAIL"),IF(C11=D11,"PASS","FAIL"))</x:f>
        <x:v>PASS</x:v>
      </x:c>
      <x:c r="G11" s="16" t="str">
        <x:v>TCO_12_36_60!D6</x:v>
      </x:c>
      <x:c r="H11" s="16" t="str">
        <x:v>Oracle indépendant</x:v>
      </x:c>
    </x:row>
    <x:row r="12" ht="42" customHeight="1">
      <x:c r="B12" s="16" t="str">
        <x:v>TCO Conserver 60 mois</x:v>
      </x:c>
      <x:c r="C12" s="22" t="n">
        <x:f>'TCO_12_36_60'!$E$6</x:f>
        <x:v>170000</x:v>
      </x:c>
      <x:c r="D12" s="16" t="n">
        <x:v>170000</x:v>
      </x:c>
      <x:c r="E12" s="16" t="n">
        <x:v>0.01</x:v>
      </x:c>
      <x:c r="F12" s="22" t="str">
        <x:f>IF(AND(ISNUMBER(C12),ISNUMBER(D12)),IF(ABS(C12-D12)&lt;=E12,"PASS","FAIL"),IF(C12=D12,"PASS","FAIL"))</x:f>
        <x:v>PASS</x:v>
      </x:c>
      <x:c r="G12" s="16" t="str">
        <x:v>TCO_12_36_60!E6</x:v>
      </x:c>
      <x:c r="H12" s="16" t="str">
        <x:v>Oracle indépendant</x:v>
      </x:c>
    </x:row>
    <x:row r="13" ht="42" customHeight="1">
      <x:c r="B13" s="16" t="str">
        <x:v>TCO Stabiliser 12 mois</x:v>
      </x:c>
      <x:c r="C13" s="22" t="n">
        <x:f>'TCO_12_36_60'!$C$7</x:f>
        <x:v>78000</x:v>
      </x:c>
      <x:c r="D13" s="16" t="n">
        <x:v>78000</x:v>
      </x:c>
      <x:c r="E13" s="16" t="n">
        <x:v>0.01</x:v>
      </x:c>
      <x:c r="F13" s="22" t="str">
        <x:f>IF(AND(ISNUMBER(C13),ISNUMBER(D13)),IF(ABS(C13-D13)&lt;=E13,"PASS","FAIL"),IF(C13=D13,"PASS","FAIL"))</x:f>
        <x:v>PASS</x:v>
      </x:c>
      <x:c r="G13" s="16" t="str">
        <x:v>TCO_12_36_60!C7</x:v>
      </x:c>
      <x:c r="H13" s="16" t="str">
        <x:v>Oracle indépendant</x:v>
      </x:c>
    </x:row>
    <x:row r="14" ht="42" customHeight="1">
      <x:c r="B14" s="16" t="str">
        <x:v>TCO Stabiliser 36 mois</x:v>
      </x:c>
      <x:c r="C14" s="22" t="n">
        <x:f>'TCO_12_36_60'!$D$7</x:f>
        <x:v>150000</x:v>
      </x:c>
      <x:c r="D14" s="16" t="n">
        <x:v>150000</x:v>
      </x:c>
      <x:c r="E14" s="16" t="n">
        <x:v>0.01</x:v>
      </x:c>
      <x:c r="F14" s="22" t="str">
        <x:f>IF(AND(ISNUMBER(C14),ISNUMBER(D14)),IF(ABS(C14-D14)&lt;=E14,"PASS","FAIL"),IF(C14=D14,"PASS","FAIL"))</x:f>
        <x:v>PASS</x:v>
      </x:c>
      <x:c r="G14" s="16" t="str">
        <x:v>TCO_12_36_60!D7</x:v>
      </x:c>
      <x:c r="H14" s="16" t="str">
        <x:v>Oracle indépendant</x:v>
      </x:c>
    </x:row>
    <x:row r="15" ht="42" customHeight="1">
      <x:c r="B15" s="16" t="str">
        <x:v>TCO Stabiliser 60 mois</x:v>
      </x:c>
      <x:c r="C15" s="22" t="n">
        <x:f>'TCO_12_36_60'!$E$7</x:f>
        <x:v>222000</x:v>
      </x:c>
      <x:c r="D15" s="16" t="n">
        <x:v>222000</x:v>
      </x:c>
      <x:c r="E15" s="16" t="n">
        <x:v>0.01</x:v>
      </x:c>
      <x:c r="F15" s="22" t="str">
        <x:f>IF(AND(ISNUMBER(C15),ISNUMBER(D15)),IF(ABS(C15-D15)&lt;=E15,"PASS","FAIL"),IF(C15=D15,"PASS","FAIL"))</x:f>
        <x:v>PASS</x:v>
      </x:c>
      <x:c r="G15" s="16" t="str">
        <x:v>TCO_12_36_60!E7</x:v>
      </x:c>
      <x:c r="H15" s="16" t="str">
        <x:v>Oracle indépendant</x:v>
      </x:c>
    </x:row>
    <x:row r="16" ht="42" customHeight="1">
      <x:c r="B16" s="16" t="str">
        <x:v>TCO Migrer progressivement 12 mois</x:v>
      </x:c>
      <x:c r="C16" s="22" t="n">
        <x:f>'TCO_12_36_60'!$C$8</x:f>
        <x:v>131600</x:v>
      </x:c>
      <x:c r="D16" s="16" t="n">
        <x:v>131600</x:v>
      </x:c>
      <x:c r="E16" s="16" t="n">
        <x:v>0.01</x:v>
      </x:c>
      <x:c r="F16" s="22" t="str">
        <x:f>IF(AND(ISNUMBER(C16),ISNUMBER(D16)),IF(ABS(C16-D16)&lt;=E16,"PASS","FAIL"),IF(C16=D16,"PASS","FAIL"))</x:f>
        <x:v>PASS</x:v>
      </x:c>
      <x:c r="G16" s="16" t="str">
        <x:v>TCO_12_36_60!C8</x:v>
      </x:c>
      <x:c r="H16" s="16" t="str">
        <x:v>Oracle indépendant</x:v>
      </x:c>
    </x:row>
    <x:row r="17" ht="42" customHeight="1">
      <x:c r="B17" s="16" t="str">
        <x:v>TCO Migrer progressivement 36 mois</x:v>
      </x:c>
      <x:c r="C17" s="22" t="n">
        <x:f>'TCO_12_36_60'!$D$8</x:f>
        <x:v>216800</x:v>
      </x:c>
      <x:c r="D17" s="16" t="n">
        <x:v>216800</x:v>
      </x:c>
      <x:c r="E17" s="16" t="n">
        <x:v>0.01</x:v>
      </x:c>
      <x:c r="F17" s="22" t="str">
        <x:f>IF(AND(ISNUMBER(C17),ISNUMBER(D17)),IF(ABS(C17-D17)&lt;=E17,"PASS","FAIL"),IF(C17=D17,"PASS","FAIL"))</x:f>
        <x:v>PASS</x:v>
      </x:c>
      <x:c r="G17" s="16" t="str">
        <x:v>TCO_12_36_60!D8</x:v>
      </x:c>
      <x:c r="H17" s="16" t="str">
        <x:v>Oracle indépendant</x:v>
      </x:c>
    </x:row>
    <x:row r="18" ht="42" customHeight="1">
      <x:c r="B18" s="16" t="str">
        <x:v>TCO Migrer progressivement 60 mois</x:v>
      </x:c>
      <x:c r="C18" s="22" t="n">
        <x:f>'TCO_12_36_60'!$E$8</x:f>
        <x:v>302000</x:v>
      </x:c>
      <x:c r="D18" s="16" t="n">
        <x:v>302000</x:v>
      </x:c>
      <x:c r="E18" s="16" t="n">
        <x:v>0.01</x:v>
      </x:c>
      <x:c r="F18" s="22" t="str">
        <x:f>IF(AND(ISNUMBER(C18),ISNUMBER(D18)),IF(ABS(C18-D18)&lt;=E18,"PASS","FAIL"),IF(C18=D18,"PASS","FAIL"))</x:f>
        <x:v>PASS</x:v>
      </x:c>
      <x:c r="G18" s="16" t="str">
        <x:v>TCO_12_36_60!E8</x:v>
      </x:c>
      <x:c r="H18" s="16" t="str">
        <x:v>Oracle indépendant</x:v>
      </x:c>
    </x:row>
    <x:row r="19" ht="42" customHeight="1">
      <x:c r="B19" s="16" t="str">
        <x:v>TCO Réécrire 12 mois</x:v>
      </x:c>
      <x:c r="C19" s="22" t="n">
        <x:f>'TCO_12_36_60'!$C$9</x:f>
        <x:v>224000</x:v>
      </x:c>
      <x:c r="D19" s="16" t="n">
        <x:v>224000</x:v>
      </x:c>
      <x:c r="E19" s="16" t="n">
        <x:v>0.01</x:v>
      </x:c>
      <x:c r="F19" s="22" t="str">
        <x:f>IF(AND(ISNUMBER(C19),ISNUMBER(D19)),IF(ABS(C19-D19)&lt;=E19,"PASS","FAIL"),IF(C19=D19,"PASS","FAIL"))</x:f>
        <x:v>PASS</x:v>
      </x:c>
      <x:c r="G19" s="16" t="str">
        <x:v>TCO_12_36_60!C9</x:v>
      </x:c>
      <x:c r="H19" s="16" t="str">
        <x:v>Oracle indépendant</x:v>
      </x:c>
    </x:row>
    <x:row r="20" ht="42" customHeight="1">
      <x:c r="B20" s="16" t="str">
        <x:v>TCO Réécrire 36 mois</x:v>
      </x:c>
      <x:c r="C20" s="22" t="n">
        <x:f>'TCO_12_36_60'!$D$9</x:f>
        <x:v>332000</x:v>
      </x:c>
      <x:c r="D20" s="16" t="n">
        <x:v>332000</x:v>
      </x:c>
      <x:c r="E20" s="16" t="n">
        <x:v>0.01</x:v>
      </x:c>
      <x:c r="F20" s="22" t="str">
        <x:f>IF(AND(ISNUMBER(C20),ISNUMBER(D20)),IF(ABS(C20-D20)&lt;=E20,"PASS","FAIL"),IF(C20=D20,"PASS","FAIL"))</x:f>
        <x:v>PASS</x:v>
      </x:c>
      <x:c r="G20" s="16" t="str">
        <x:v>TCO_12_36_60!D9</x:v>
      </x:c>
      <x:c r="H20" s="16" t="str">
        <x:v>Oracle indépendant</x:v>
      </x:c>
    </x:row>
    <x:row r="21" ht="42" customHeight="1">
      <x:c r="B21" s="16" t="str">
        <x:v>TCO Réécrire 60 mois</x:v>
      </x:c>
      <x:c r="C21" s="22" t="n">
        <x:f>'TCO_12_36_60'!$E$9</x:f>
        <x:v>440000</x:v>
      </x:c>
      <x:c r="D21" s="16" t="n">
        <x:v>440000</x:v>
      </x:c>
      <x:c r="E21" s="16" t="n">
        <x:v>0.01</x:v>
      </x:c>
      <x:c r="F21" s="22" t="str">
        <x:f>IF(AND(ISNUMBER(C21),ISNUMBER(D21)),IF(ABS(C21-D21)&lt;=E21,"PASS","FAIL"),IF(C21=D21,"PASS","FAIL"))</x:f>
        <x:v>PASS</x:v>
      </x:c>
      <x:c r="G21" s="16" t="str">
        <x:v>TCO_12_36_60!E9</x:v>
      </x:c>
      <x:c r="H21" s="16" t="str">
        <x:v>Oracle indépendant</x:v>
      </x:c>
    </x:row>
    <x:row r="22" ht="42" customHeight="1">
      <x:c r="B22" s="16" t="str">
        <x:v>TCO Arrêter proprement 12 mois</x:v>
      </x:c>
      <x:c r="C22" s="22" t="n">
        <x:f>'TCO_12_36_60'!$C$10</x:f>
        <x:v>41000</x:v>
      </x:c>
      <x:c r="D22" s="16" t="n">
        <x:v>41000</x:v>
      </x:c>
      <x:c r="E22" s="16" t="n">
        <x:v>0.01</x:v>
      </x:c>
      <x:c r="F22" s="22" t="str">
        <x:f>IF(AND(ISNUMBER(C22),ISNUMBER(D22)),IF(ABS(C22-D22)&lt;=E22,"PASS","FAIL"),IF(C22=D22,"PASS","FAIL"))</x:f>
        <x:v>PASS</x:v>
      </x:c>
      <x:c r="G22" s="16" t="str">
        <x:v>TCO_12_36_60!C10</x:v>
      </x:c>
      <x:c r="H22" s="16" t="str">
        <x:v>Oracle indépendant</x:v>
      </x:c>
    </x:row>
    <x:row r="23" ht="42" customHeight="1">
      <x:c r="B23" s="16" t="str">
        <x:v>TCO Arrêter proprement 36 mois</x:v>
      </x:c>
      <x:c r="C23" s="22" t="n">
        <x:f>'TCO_12_36_60'!$D$10</x:f>
        <x:v>53000</x:v>
      </x:c>
      <x:c r="D23" s="16" t="n">
        <x:v>53000</x:v>
      </x:c>
      <x:c r="E23" s="16" t="n">
        <x:v>0.01</x:v>
      </x:c>
      <x:c r="F23" s="22" t="str">
        <x:f>IF(AND(ISNUMBER(C23),ISNUMBER(D23)),IF(ABS(C23-D23)&lt;=E23,"PASS","FAIL"),IF(C23=D23,"PASS","FAIL"))</x:f>
        <x:v>PASS</x:v>
      </x:c>
      <x:c r="G23" s="16" t="str">
        <x:v>TCO_12_36_60!D10</x:v>
      </x:c>
      <x:c r="H23" s="16" t="str">
        <x:v>Oracle indépendant</x:v>
      </x:c>
    </x:row>
    <x:row r="24" ht="42" customHeight="1">
      <x:c r="B24" s="16" t="str">
        <x:v>TCO Arrêter proprement 60 mois</x:v>
      </x:c>
      <x:c r="C24" s="22" t="n">
        <x:f>'TCO_12_36_60'!$E$10</x:f>
        <x:v>65000</x:v>
      </x:c>
      <x:c r="D24" s="16" t="n">
        <x:v>65000</x:v>
      </x:c>
      <x:c r="E24" s="16" t="n">
        <x:v>0.01</x:v>
      </x:c>
      <x:c r="F24" s="22" t="str">
        <x:f>IF(AND(ISNUMBER(C24),ISNUMBER(D24)),IF(ABS(C24-D24)&lt;=E24,"PASS","FAIL"),IF(C24=D24,"PASS","FAIL"))</x:f>
        <x:v>PASS</x:v>
      </x:c>
      <x:c r="G24" s="16" t="str">
        <x:v>TCO_12_36_60!E10</x:v>
      </x:c>
      <x:c r="H24" s="16" t="str">
        <x:v>Oracle indépendant</x:v>
      </x:c>
    </x:row>
    <x:row r="25" ht="42" customHeight="1">
      <x:c r="B25" s="16" t="str">
        <x:v>Capacité immobilisée</x:v>
      </x:c>
      <x:c r="C25" s="22" t="n">
        <x:f>'RISQUE_PANNE'!$C$19</x:f>
        <x:v>8400</x:v>
      </x:c>
      <x:c r="D25" s="16" t="n">
        <x:v>8400</x:v>
      </x:c>
      <x:c r="E25" s="16" t="n">
        <x:v>0.01</x:v>
      </x:c>
      <x:c r="F25" s="22" t="str">
        <x:f>IF(AND(ISNUMBER(C25),ISNUMBER(D25)),IF(ABS(C25-D25)&lt;=E25,"PASS","FAIL"),IF(C25=D25,"PASS","FAIL"))</x:f>
        <x:v>PASS</x:v>
      </x:c>
      <x:c r="G25" s="16" t="str">
        <x:v>RISQUE_PANNE!C19</x:v>
      </x:c>
      <x:c r="H25" s="16" t="str">
        <x:v>Durée × personnes × taux</x:v>
      </x:c>
    </x:row>
    <x:row r="26" ht="42" customHeight="1">
      <x:c r="B26" s="16" t="str">
        <x:v>Coût observable</x:v>
      </x:c>
      <x:c r="C26" s="22" t="n">
        <x:f>'RISQUE_PANNE'!$C$20</x:f>
        <x:v>16000</x:v>
      </x:c>
      <x:c r="D26" s="16" t="n">
        <x:v>16000</x:v>
      </x:c>
      <x:c r="E26" s="16" t="n">
        <x:v>0.01</x:v>
      </x:c>
      <x:c r="F26" s="22" t="str">
        <x:f>IF(AND(ISNUMBER(C26),ISNUMBER(D26)),IF(ABS(C26-D26)&lt;=E26,"PASS","FAIL"),IF(C26=D26,"PASS","FAIL"))</x:f>
        <x:v>PASS</x:v>
      </x:c>
      <x:c r="G26" s="16" t="str">
        <x:v>RISQUE_PANNE!C20</x:v>
      </x:c>
      <x:c r="H26" s="16" t="str">
        <x:v>Capacité + coûts observables</x:v>
      </x:c>
    </x:row>
    <x:row r="27" ht="42" customHeight="1">
      <x:c r="B27" s="16" t="str">
        <x:v>Perte annuelle attendue</x:v>
      </x:c>
      <x:c r="C27" s="22" t="n">
        <x:f>'RISQUE_PANNE'!$C$21</x:f>
        <x:v>4000</x:v>
      </x:c>
      <x:c r="D27" s="16" t="n">
        <x:v>4000</x:v>
      </x:c>
      <x:c r="E27" s="16" t="n">
        <x:v>0.01</x:v>
      </x:c>
      <x:c r="F27" s="22" t="str">
        <x:f>IF(AND(ISNUMBER(C27),ISNUMBER(D27)),IF(ABS(C27-D27)&lt;=E27,"PASS","FAIL"),IF(C27=D27,"PASS","FAIL"))</x:f>
        <x:v>PASS</x:v>
      </x:c>
      <x:c r="G27" s="16" t="str">
        <x:v>RISQUE_PANNE!C21</x:v>
      </x:c>
      <x:c r="H27" s="16" t="str">
        <x:v>Observable × probabilité</x:v>
      </x:c>
    </x:row>
    <x:row r="28" ht="42" customHeight="1">
      <x:c r="B28" s="16" t="str">
        <x:v>Statut de probabilité</x:v>
      </x:c>
      <x:c r="C28" s="22" t="str">
        <x:f>'RISQUE_PANNE'!$C$22</x:f>
        <x:v>CONNUE</x:v>
      </x:c>
      <x:c r="D28" s="16" t="str">
        <x:v>CONNUE</x:v>
      </x:c>
      <x:c r="E28" s="16" t="n">
        <x:v>0</x:v>
      </x:c>
      <x:c r="F28" s="22" t="str">
        <x:f>IF(AND(ISNUMBER(C28),ISNUMBER(D28)),IF(ABS(C28-D28)&lt;=E28,"PASS","FAIL"),IF(C28=D28,"PASS","FAIL"))</x:f>
        <x:v>PASS</x:v>
      </x:c>
      <x:c r="G28" s="16" t="str">
        <x:v>RISQUE_PANNE!C22</x:v>
      </x:c>
      <x:c r="H28" s="16" t="str">
        <x:v>Source et date requises</x:v>
      </x:c>
    </x:row>
    <x:row r="29" ht="42" customHeight="1">
      <x:c r="B29" s="16" t="str">
        <x:v>Validité du modèle de panne</x:v>
      </x:c>
      <x:c r="C29" s="22" t="str">
        <x:f>'RISQUE_PANNE'!$C$23</x:f>
        <x:v>VALIDE</x:v>
      </x:c>
      <x:c r="D29" s="16" t="str">
        <x:v>VALIDE</x:v>
      </x:c>
      <x:c r="E29" s="16" t="n">
        <x:v>0</x:v>
      </x:c>
      <x:c r="F29" s="22" t="str">
        <x:f>IF(AND(ISNUMBER(C29),ISNUMBER(D29)),IF(ABS(C29-D29)&lt;=E29,"PASS","FAIL"),IF(C29=D29,"PASS","FAIL"))</x:f>
        <x:v>PASS</x:v>
      </x:c>
      <x:c r="G29" s="16" t="str">
        <x:v>RISQUE_PANNE!C23</x:v>
      </x:c>
      <x:c r="H29" s="16" t="str">
        <x:v>Entrées et probabilité valides</x:v>
      </x:c>
    </x:row>
    <x:row r="30" ht="42" customHeight="1">
      <x:c r="B30" s="16" t="str">
        <x:v>Trajectoires TCO valides</x:v>
      </x:c>
      <x:c r="C30" s="22" t="n">
        <x:f>COUNTIF('TCO_12_36_60'!$F$6:$F$10,"VALIDE")</x:f>
        <x:v>5</x:v>
      </x:c>
      <x:c r="D30" s="16" t="n">
        <x:v>5</x:v>
      </x:c>
      <x:c r="E30" s="16" t="n">
        <x:v>0</x:v>
      </x:c>
      <x:c r="F30" s="22" t="str">
        <x:f>IF(AND(ISNUMBER(C30),ISNUMBER(D30)),IF(ABS(C30-D30)&lt;=E30,"PASS","FAIL"),IF(C30=D30,"PASS","FAIL"))</x:f>
        <x:v>PASS</x:v>
      </x:c>
      <x:c r="G30" s="16" t="str">
        <x:v>HYPOTHESES_TCO</x:v>
      </x:c>
      <x:c r="H30" s="16" t="str">
        <x:v>Les cinq sont complètes</x:v>
      </x:c>
    </x:row>
    <x:row r="31" ht="42" customHeight="1">
      <x:c r="B31" s="16" t="str">
        <x:v>Minimum 12 mois</x:v>
      </x:c>
      <x:c r="C31" s="22" t="n">
        <x:f>MIN('TCO_12_36_60'!$C$6:$C$10)</x:f>
        <x:v>41000</x:v>
      </x:c>
      <x:c r="D31" s="16" t="n">
        <x:v>41000</x:v>
      </x:c>
      <x:c r="E31" s="16" t="n">
        <x:v>0.01</x:v>
      </x:c>
      <x:c r="F31" s="22" t="str">
        <x:f>IF(AND(ISNUMBER(C31),ISNUMBER(D31)),IF(ABS(C31-D31)&lt;=E31,"PASS","FAIL"),IF(C31=D31,"PASS","FAIL"))</x:f>
        <x:v>PASS</x:v>
      </x:c>
      <x:c r="G31" s="16" t="str">
        <x:v>TCO_12_36_60</x:v>
      </x:c>
      <x:c r="H31" s="16" t="str">
        <x:v>Sortie visible</x:v>
      </x:c>
    </x:row>
    <x:row r="32" ht="42" customHeight="1">
      <x:c r="B32" s="16" t="str">
        <x:v>Étape de décision</x:v>
      </x:c>
      <x:c r="C32" s="22" t="str">
        <x:f>'DECISION'!$C$13</x:f>
        <x:v>DECISION_HUMAINE</x:v>
      </x:c>
      <x:c r="D32" s="16" t="str">
        <x:v>DECISION_HUMAINE</x:v>
      </x:c>
      <x:c r="E32" s="16" t="n">
        <x:v>0</x:v>
      </x:c>
      <x:c r="F32" s="22" t="str">
        <x:f>IF(AND(ISNUMBER(C32),ISNUMBER(D32)),IF(ABS(C32-D32)&lt;=E32,"PASS","FAIL"),IF(C32=D32,"PASS","FAIL"))</x:f>
        <x:v>PASS</x:v>
      </x:c>
      <x:c r="G32" s="16" t="str">
        <x:v>DECISION!C13</x:v>
      </x:c>
      <x:c r="H32" s="16" t="str">
        <x:v>Les preuves fictives testent la mécanique</x:v>
      </x:c>
    </x:row>
    <x:row r="33" ht="42" customHeight="1">
      <x:c r="B33" s="16" t="str">
        <x:v>Finalisation verrouillée</x:v>
      </x:c>
      <x:c r="C33" s="22" t="str">
        <x:f>'DECISION'!$C$18</x:f>
        <x:v>BLOQUE_EXEMPLE_FICTIF</x:v>
      </x:c>
      <x:c r="D33" s="16" t="str">
        <x:v>BLOQUE_EXEMPLE_FICTIF</x:v>
      </x:c>
      <x:c r="E33" s="16" t="n">
        <x:v>0</x:v>
      </x:c>
      <x:c r="F33" s="22" t="str">
        <x:f>IF(AND(ISNUMBER(C33),ISNUMBER(D33)),IF(ABS(C33-D33)&lt;=E33,"PASS","FAIL"),IF(C33=D33,"PASS","FAIL"))</x:f>
        <x:v>PASS</x:v>
      </x:c>
      <x:c r="G33" s="16" t="str">
        <x:v>LIRE_D_ABORD!C18</x:v>
      </x:c>
      <x:c r="H33" s="16" t="str">
        <x:v>Verrou obligatoire</x:v>
      </x:c>
    </x:row>
    <x:row r="34" ht="42" customHeight="1">
      <x:c r="B34" s="16" t="str">
        <x:v>Date maximale</x:v>
      </x:c>
      <x:c r="C34" s="22" t="str">
        <x:f>'LIRE_D_ABORD'!$K$10</x:f>
        <x:v>2026-07-28</x:v>
      </x:c>
      <x:c r="D34" s="16" t="str">
        <x:v>2026-07-28</x:v>
      </x:c>
      <x:c r="E34" s="16" t="n">
        <x:v>0</x:v>
      </x:c>
      <x:c r="F34" s="22" t="str">
        <x:f>IF(AND(ISNUMBER(C34),ISNUMBER(D34)),IF(ABS(C34-D34)&lt;=E34,"PASS","FAIL"),IF(C34=D34,"PASS","FAIL"))</x:f>
        <x:v>PASS</x:v>
      </x:c>
      <x:c r="G34" s="16" t="str">
        <x:v>LIRE_D_ABORD!K10</x:v>
      </x:c>
      <x:c r="H34" s="16" t="str">
        <x:v>Date de référence</x:v>
      </x:c>
    </x:row>
    <x:row r="35" ht="42" customHeight="1">
      <x:c r="B35" s="16" t="str">
        <x:v>Absence de score</x:v>
      </x:c>
      <x:c r="C35" s="22" t="str">
        <x:f>'DECISION'!$C$16</x:f>
        <x:v>AUCUN_SCORE</x:v>
      </x:c>
      <x:c r="D35" s="16" t="str">
        <x:v>AUCUN_SCORE</x:v>
      </x:c>
      <x:c r="E35" s="16" t="n">
        <x:v>0</x:v>
      </x:c>
      <x:c r="F35" s="22" t="str">
        <x:f>IF(AND(ISNUMBER(C35),ISNUMBER(D35)),IF(ABS(C35-D35)&lt;=E35,"PASS","FAIL"),IF(C35=D35,"PASS","FAIL"))</x:f>
        <x:v>PASS</x:v>
      </x:c>
      <x:c r="G35" s="16" t="str">
        <x:v>DECISION!C16</x:v>
      </x:c>
      <x:c r="H35" s="16" t="str">
        <x:v>Aucun offset de STOP</x:v>
      </x:c>
    </x:row>
    <x:row r="36" ht="42" customHeight="1">
      <x:c r="B36" s="16" t="str">
        <x:v>Marqueur fictif</x:v>
      </x:c>
      <x:c r="C36" s="22" t="str">
        <x:f>'LIRE_D_ABORD'!$C$18</x:f>
        <x:v>NON</x:v>
      </x:c>
      <x:c r="D36" s="16" t="str">
        <x:v>NON</x:v>
      </x:c>
      <x:c r="E36" s="16" t="n">
        <x:v>0</x:v>
      </x:c>
      <x:c r="F36" s="22" t="str">
        <x:f>IF(AND(ISNUMBER(C36),ISNUMBER(D36)),IF(ABS(C36-D36)&lt;=E36,"PASS","FAIL"),IF(C36=D36,"PASS","FAIL"))</x:f>
        <x:v>PASS</x:v>
      </x:c>
      <x:c r="G36" s="16" t="str">
        <x:v>LIRE_D_ABORD!C18</x:v>
      </x:c>
      <x:c r="H36" s="16" t="str">
        <x:v>Doit rester bloqué dans le modèle livré</x:v>
      </x:c>
    </x:row>
    <x:row r="37" ht="42" customHeight="1">
      <x:c r="B37" s="17" t="str">
        <x:v>Nombre d’onglets</x:v>
      </x:c>
      <x:c r="C37" s="23" t="n">
        <x:v>17</x:v>
      </x:c>
      <x:c r="D37" s="17" t="n">
        <x:v>17</x:v>
      </x:c>
      <x:c r="E37" s="17" t="n">
        <x:v>0</x:v>
      </x:c>
      <x:c r="F37" s="23" t="str">
        <x:f>IF(AND(ISNUMBER(C37),ISNUMBER(D37)),IF(ABS(C37-D37)&lt;=E37,"PASS","FAIL"),IF(C37=D37,"PASS","FAIL"))</x:f>
        <x:v>PASS</x:v>
      </x:c>
      <x:c r="G37" s="17" t="str">
        <x:v>structure XLSX</x:v>
      </x:c>
      <x:c r="H37" s="17" t="str">
        <x:v>Revalidé après réimport</x:v>
      </x:c>
    </x:row>
  </x:sheetData>
  <x:mergeCells>
    <x:mergeCell ref="A1:N2"/>
    <x:mergeCell ref="A3:N3"/>
    <x:mergeCell ref="B4:H4"/>
  </x:mergeCells>
  <x:conditionalFormatting sqref="F6:F37">
    <x:cfRule type="containsText" dxfId="84" priority="1" operator="containsText" text="STOP"/>
    <x:cfRule type="containsText" dxfId="85" priority="2" operator="containsText" text="INCONNU"/>
    <x:cfRule type="containsText" dxfId="86" priority="3" operator="containsText" text="INVALIDE"/>
    <x:cfRule type="containsText" dxfId="87" priority="4" operator="containsText" text="PASS"/>
    <x:cfRule type="containsText" dxfId="88" priority="5" operator="containsText" text="RESOLU"/>
    <x:cfRule type="containsText" dxfId="89" priority="6" operator="containsText" text="VALIDE"/>
  </x:conditionalFormatting>
  <x:conditionalFormatting sqref="B4:H4">
    <x:cfRule type="containsText" dxfId="90" priority="7" operator="containsText" text="STOP"/>
    <x:cfRule type="containsText" dxfId="91" priority="8" operator="containsText" text="INCONNU"/>
    <x:cfRule type="containsText" dxfId="92" priority="9" operator="containsText" text="INVALIDE"/>
    <x:cfRule type="containsText" dxfId="93" priority="10" operator="containsText" text="PASS"/>
    <x:cfRule type="containsText" dxfId="94" priority="11" operator="containsText" text="RESOLU"/>
    <x:cfRule type="containsText" dxfId="95" priority="12" operator="containsText" text="VALIDE"/>
  </x:conditionalFormatting>
  <x:pageMargins left="0.7" right="0.7" top="0.75" bottom="0.75" header="0.3" footer="0.3"/>
  <x:tableParts count="1">
    <x:tablePart xmlns:r="http://schemas.openxmlformats.org/officeDocument/2006/relationships" r:id="R12387ccf3d9443d2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  <x:selection pane="bottomRight"/>
    </x:sheetView>
  </x:sheetViews>
  <x:sheetFormatPr defaultRowHeight="15"/>
  <x:cols>
    <x:col min="1" max="1" width="3" hidden="0" customWidth="1"/>
    <x:col min="2" max="2" width="22" hidden="0" customWidth="1"/>
    <x:col min="3" max="3" width="24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3" t="str">
        <x:v>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7" t="str">
        <x:v>Registre officiel relu à la date de référence — EXEMPLE FICTIF — version 2026-07-28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5" ht="34" customHeight="1">
      <x:c r="B5" s="11" t="str">
        <x:v>ID</x:v>
      </x:c>
      <x:c r="C5" s="11" t="str">
        <x:v>Zone</x:v>
      </x:c>
      <x:c r="D5" s="11" t="str">
        <x:v>Organisme</x:v>
      </x:c>
      <x:c r="E5" s="11" t="str">
        <x:v>Titre</x:v>
      </x:c>
      <x:c r="F5" s="11" t="str">
        <x:v>URL officielle</x:v>
      </x:c>
      <x:c r="G5" s="11" t="str">
        <x:v>Usage</x:v>
      </x:c>
      <x:c r="H5" s="11" t="str">
        <x:v>Limite / revue</x:v>
      </x:c>
    </x:row>
    <x:row r="6" ht="76" customHeight="1">
      <x:c r="B6" s="16" t="str">
        <x:v>LOV-GIT</x:v>
      </x:c>
      <x:c r="C6" s="16" t="str">
        <x:v>plateforme-lovable</x:v>
      </x:c>
      <x:c r="D6" s="16" t="str">
        <x:v>Lovable</x:v>
      </x:c>
      <x:c r="E6" s="16" t="str">
        <x:v>Sync your Lovable project with GitHub</x:v>
      </x:c>
      <x:c r="F6" s="16" t="str">
        <x:v>https://docs.lovable.dev/integrations/github</x:v>
      </x:c>
      <x:c r="G6" s="16" t="str">
        <x:v>Distinguer code géré dans Lovable, copie GitHub, synchronisation bidirectionnelle, branche active et téléchargement direct selon le plan.</x:v>
      </x:c>
      <x:c r="H6" s="16" t="str">
        <x:v>Ne documente pas à elle seule la migration des données, fichiers, secrets, domaines ou services externes d’un projet concret. — revue 2026-07-28</x:v>
      </x:c>
    </x:row>
    <x:row r="7" ht="76" customHeight="1">
      <x:c r="B7" s="16" t="str">
        <x:v>LOV-DEPLOY</x:v>
      </x:c>
      <x:c r="C7" s="16" t="str">
        <x:v>plateforme-lovable</x:v>
      </x:c>
      <x:c r="D7" s="16" t="str">
        <x:v>Lovable</x:v>
      </x:c>
      <x:c r="E7" s="16" t="str">
        <x:v>Deploying and hosting outside Lovable</x:v>
      </x:c>
      <x:c r="F7" s="16" t="str">
        <x:v>https://docs.lovable.dev/tips-tricks/external-deployment-hosting</x:v>
      </x:c>
      <x:c r="G7" s="16" t="str">
        <x:v>Qualifier les responsabilités transférées lors d’un hébergement externe et les étapes séparées de migration du backend, des comptes et du stockage.</x:v>
      </x:c>
      <x:c r="H7" s="16" t="str">
        <x:v>Les procédures et services varient selon le backend, le plan et l’architecture réelle ; il faut exécuter la migration sur une cible isolée. — revue 2026-07-28</x:v>
      </x:c>
    </x:row>
    <x:row r="8" ht="76" customHeight="1">
      <x:c r="B8" s="16" t="str">
        <x:v>LOV-SECURITY</x:v>
      </x:c>
      <x:c r="C8" s="16" t="str">
        <x:v>plateforme-lovable</x:v>
      </x:c>
      <x:c r="D8" s="16" t="str">
        <x:v>Lovable</x:v>
      </x:c>
      <x:c r="E8" s="16" t="str">
        <x:v>Security overview</x:v>
      </x:c>
      <x:c r="F8" s="16" t="str">
        <x:v>https://docs.lovable.dev/features/security</x:v>
      </x:c>
      <x:c r="G8" s="16" t="str">
        <x:v>Décrire le rôle et les limites des contrôles de sécurité intégrés, dont Deep Scan.</x:v>
      </x:c>
      <x:c r="H8" s="16" t="str">
        <x:v>Une documentation éditeur et un scan automatisé ne certifient pas la sécurité du MVP ni ses autorisations métier. — revue 2026-07-28</x:v>
      </x:c>
    </x:row>
    <x:row r="9" ht="76" customHeight="1">
      <x:c r="B9" s="16" t="str">
        <x:v>LOV-FAQ</x:v>
      </x:c>
      <x:c r="C9" s="16" t="str">
        <x:v>plateforme-lovable</x:v>
      </x:c>
      <x:c r="D9" s="16" t="str">
        <x:v>Lovable</x:v>
      </x:c>
      <x:c r="E9" s="16" t="str">
        <x:v>FAQ</x:v>
      </x:c>
      <x:c r="F9" s="16" t="str">
        <x:v>https://docs.lovable.dev/introduction/faq</x:v>
      </x:c>
      <x:c r="G9" s="16" t="str">
        <x:v>Vérifier la stack selon la date du projet et les frontières de remix, historique, secrets et base.</x:v>
      </x:c>
      <x:c r="H9" s="16" t="str">
        <x:v>La FAQ décrit des comportements généraux ; package.json, lockfile et état du compte réel restent la preuve décisive. — revue 2026-07-28</x:v>
      </x:c>
    </x:row>
    <x:row r="10" ht="76" customHeight="1">
      <x:c r="B10" s="16" t="str">
        <x:v>LOV-PROJECT-TRANSFER</x:v>
      </x:c>
      <x:c r="C10" s="16" t="str">
        <x:v>plateforme-lovable</x:v>
      </x:c>
      <x:c r="D10" s="16" t="str">
        <x:v>Lovable</x:v>
      </x:c>
      <x:c r="E10" s="16" t="str">
        <x:v>Workspace basics</x:v>
      </x:c>
      <x:c r="F10" s="16" t="str">
        <x:v>https://docs.lovable.dev/features/workspace</x:v>
      </x:c>
      <x:c r="G10" s="16" t="str">
        <x:v>Distinguer transfert de propriété à un membre, déplacement entre workspaces et propriété séparée des comptes externes.</x:v>
      </x:c>
      <x:c r="H10" s="16" t="str">
        <x:v>Les droits disponibles dépendent du rôle et du workspace ; GitHub, Supabase, domaine et autres comptes tiers doivent être contrôlés séparément. — revue 2026-07-28</x:v>
      </x:c>
    </x:row>
    <x:row r="11" ht="76" customHeight="1">
      <x:c r="B11" s="16" t="str">
        <x:v>LOV-TERMS</x:v>
      </x:c>
      <x:c r="C11" s="16" t="str">
        <x:v>contrat-lovable</x:v>
      </x:c>
      <x:c r="D11" s="16" t="str">
        <x:v>Lovable</x:v>
      </x:c>
      <x:c r="E11" s="16" t="str">
        <x:v>Lovable Terms &amp; Conditions</x:v>
      </x:c>
      <x:c r="F11" s="16" t="str">
        <x:v>https://lovable.dev/terms</x:v>
      </x:c>
      <x:c r="G11" s="16" t="str">
        <x:v>Identifier les règles contractuelles annoncées sur Customer Data, Output, droits entre les parties et éléments tiers.</x:v>
      </x:c>
      <x:c r="H11" s="16" t="str">
        <x:v>La version publiée le 16 juin 2026 est annoncée effective au 15 août 2026 sauf acceptation antérieure ; seul le contrat effectivement accepté s’applique au cas réel. — revue 2026-07-28</x:v>
      </x:c>
    </x:row>
    <x:row r="12" ht="76" customHeight="1">
      <x:c r="B12" s="16" t="str">
        <x:v>BOLT-PROJECTS</x:v>
      </x:c>
      <x:c r="C12" s="16" t="str">
        <x:v>plateforme-bolt</x:v>
      </x:c>
      <x:c r="D12" s="16" t="str">
        <x:v>Bolt / StackBlitz</x:v>
      </x:c>
      <x:c r="E12" s="16" t="str">
        <x:v>Manage your projects</x:v>
      </x:c>
      <x:c r="F12" s="16" t="str">
        <x:v>https://support.bolt.new/building/using-bolt/projects-files</x:v>
      </x:c>
      <x:c r="G12" s="16" t="str">
        <x:v>Documenter téléchargement, transfert, duplication, intégrations, domaine, structure de base et historique de chat.</x:v>
      </x:c>
      <x:c r="H12" s="16" t="str">
        <x:v>Les effets dépendent du type de base et des intégrations actives ; le transfert doit être testé dans le compte cible. — revue 2026-07-28</x:v>
      </x:c>
    </x:row>
    <x:row r="13" ht="76" customHeight="1">
      <x:c r="B13" s="16" t="str">
        <x:v>BOLT-ROLLBACK</x:v>
      </x:c>
      <x:c r="C13" s="16" t="str">
        <x:v>plateforme-bolt</x:v>
      </x:c>
      <x:c r="D13" s="16" t="str">
        <x:v>Bolt / StackBlitz</x:v>
      </x:c>
      <x:c r="E13" s="16" t="str">
        <x:v>Backups, restore, and version history</x:v>
      </x:c>
      <x:c r="F13" s="16" t="str">
        <x:v>https://support.bolt.new/building/using-bolt/rollback-backup</x:v>
      </x:c>
      <x:c r="G13" s="16" t="str">
        <x:v>Séparer rollback du projet, export ZIP et état des bases Bolt ou Supabase.</x:v>
      </x:c>
      <x:c r="H13" s="16" t="str">
        <x:v>L’historique de projet n’est pas une sauvegarde cohérente des données et services externes. — revue 2026-07-28</x:v>
      </x:c>
    </x:row>
    <x:row r="14" ht="76" customHeight="1">
      <x:c r="B14" s="16" t="str">
        <x:v>BOLT-SUPABASE</x:v>
      </x:c>
      <x:c r="C14" s="16" t="str">
        <x:v>plateforme-bolt</x:v>
      </x:c>
      <x:c r="D14" s="16" t="str">
        <x:v>Bolt / StackBlitz</x:v>
      </x:c>
      <x:c r="E14" s="16" t="str">
        <x:v>Supabase for databases</x:v>
      </x:c>
      <x:c r="F14" s="16" t="str">
        <x:v>https://support.bolt.new/integrations/supabase</x:v>
      </x:c>
      <x:c r="G14" s="16" t="str">
        <x:v>Vérifier rollback de base, remplacement de connexion, risque de perte de données et rôle requis pour revendiquer une Bolt Database.</x:v>
      </x:c>
      <x:c r="H14" s="16" t="str">
        <x:v>La page décrit les flux supportés au jour du gel ; versions legacy et types de projet peuvent avoir des contraintes distinctes. — revue 2026-07-28</x:v>
      </x:c>
    </x:row>
    <x:row r="15" ht="76" customHeight="1">
      <x:c r="B15" s="16" t="str">
        <x:v>STACKBLITZ-TERMS</x:v>
      </x:c>
      <x:c r="C15" s="16" t="str">
        <x:v>contrat-bolt</x:v>
      </x:c>
      <x:c r="D15" s="16" t="str">
        <x:v>StackBlitz</x:v>
      </x:c>
      <x:c r="E15" s="16" t="str">
        <x:v>Terms of Service</x:v>
      </x:c>
      <x:c r="F15" s="16" t="str">
        <x:v>https://stackblitz.com/terms-of-service</x:v>
      </x:c>
      <x:c r="G15" s="16" t="str">
        <x:v>Identifier le cadre contractuel public général de StackBlitz/Bolt et les notions de contenu utilisateur et contenu de la plateforme.</x:v>
      </x:c>
      <x:c r="H15" s="16" t="str">
        <x:v>La page publique, datée du 10 janvier 2024, ne suffit pas à conclure seule sur tous les droits d’un Output Bolt en juillet 2026 ; conserver le contrat accepté et faire relire les clauses matérielles. — revue 2026-07-28</x:v>
      </x:c>
    </x:row>
    <x:row r="16" ht="76" customHeight="1">
      <x:c r="B16" s="16" t="str">
        <x:v>V0-GITHUB</x:v>
      </x:c>
      <x:c r="C16" s="16" t="str">
        <x:v>plateforme-v0</x:v>
      </x:c>
      <x:c r="D16" s="16" t="str">
        <x:v>Vercel v0</x:v>
      </x:c>
      <x:c r="E16" s="16" t="str">
        <x:v>GitHub</x:v>
      </x:c>
      <x:c r="F16" s="16" t="str">
        <x:v>https://v0.app/docs/github</x:v>
      </x:c>
      <x:c r="G16" s="16" t="str">
        <x:v>Établir le dépôt comme source de vérité, les branches par chat, les commits automatiques et le risque de suppression du dépôt.</x:v>
      </x:c>
      <x:c r="H16" s="16" t="str">
        <x:v>Le dépôt ne contient pas nécessairement variables, domaines, données et intégrations du projet Vercel. — revue 2026-07-28</x:v>
      </x:c>
    </x:row>
    <x:row r="17" ht="76" customHeight="1">
      <x:c r="B17" s="16" t="str">
        <x:v>V0-PROJECTS</x:v>
      </x:c>
      <x:c r="C17" s="16" t="str">
        <x:v>plateforme-v0</x:v>
      </x:c>
      <x:c r="D17" s="16" t="str">
        <x:v>Vercel v0</x:v>
      </x:c>
      <x:c r="E17" s="16" t="str">
        <x:v>Projects</x:v>
      </x:c>
      <x:c r="F17" s="16" t="str">
        <x:v>https://v0.app/docs/projects</x:v>
      </x:c>
      <x:c r="G17" s="16" t="str">
        <x:v>Décrire l’application partagée entre chats, la portée projet des variables, domaines, intégrations et déploiements, et l’URL de production commune.</x:v>
      </x:c>
      <x:c r="H17" s="16" t="str">
        <x:v>La documentation produit n’inventorie pas les services tiers ni les permissions propres au compte du lecteur. — revue 2026-07-28</x:v>
      </x:c>
    </x:row>
    <x:row r="18" ht="76" customHeight="1">
      <x:c r="B18" s="16" t="str">
        <x:v>V0-TRANSFER</x:v>
      </x:c>
      <x:c r="C18" s="16" t="str">
        <x:v>plateforme-v0</x:v>
      </x:c>
      <x:c r="D18" s="16" t="str">
        <x:v>Vercel v0</x:v>
      </x:c>
      <x:c r="E18" s="16" t="str">
        <x:v>Teams</x:v>
      </x:c>
      <x:c r="F18" s="16" t="str">
        <x:v>https://v0.app/docs/teams</x:v>
      </x:c>
      <x:c r="G18" s="16" t="str">
        <x:v>Documenter le transfert de chats entre scopes personnels et équipes ainsi que le transfert conditionnel du projet Vercel lié.</x:v>
      </x:c>
      <x:c r="H18" s="16" t="str">
        <x:v>Le projet Vercel ne suit que sous les conditions de rôle documentées ; permissions GitHub, services tiers, données et contrats restent séparés. — revue 2026-07-28</x:v>
      </x:c>
    </x:row>
    <x:row r="19" ht="76" customHeight="1">
      <x:c r="B19" s="16" t="str">
        <x:v>VERCEL-AI-TERMS</x:v>
      </x:c>
      <x:c r="C19" s="16" t="str">
        <x:v>contrat-v0</x:v>
      </x:c>
      <x:c r="D19" s="16" t="str">
        <x:v>Vercel</x:v>
      </x:c>
      <x:c r="E19" s="16" t="str">
        <x:v>AI Product Terms</x:v>
      </x:c>
      <x:c r="F19" s="16" t="str">
        <x:v>https://vercel.com/legal/ai-product-terms</x:v>
      </x:c>
      <x:c r="G19" s="16" t="str">
        <x:v>Encadrer les affirmations sur Output, code généré, revue utilisateur, unicité, droits entre les parties et droits de tiers.</x:v>
      </x:c>
      <x:c r="H19" s="16" t="str">
        <x:v>Conditions générales, pas avis juridique ; la version et les autres contrats effectivement acceptés ainsi que les licences tierces restent déterminants. — revue 2026-07-28</x:v>
      </x:c>
    </x:row>
    <x:row r="20" ht="76" customHeight="1">
      <x:c r="B20" s="16" t="str">
        <x:v>VERCEL-TERMS</x:v>
      </x:c>
      <x:c r="C20" s="16" t="str">
        <x:v>contrat-v0</x:v>
      </x:c>
      <x:c r="D20" s="16" t="str">
        <x:v>Vercel</x:v>
      </x:c>
      <x:c r="E20" s="16" t="str">
        <x:v>General Terms</x:v>
      </x:c>
      <x:c r="F20" s="16" t="str">
        <x:v>https://vercel.com/legal/terms</x:v>
      </x:c>
      <x:c r="G20" s="16" t="str">
        <x:v>Compléter les conditions propres aux produits IA par le cadre contractuel général applicable au compte, aux services et au contenu.</x:v>
      </x:c>
      <x:c r="H20" s="16" t="str">
        <x:v>La version et le contrat effectivement acceptés, les annexes et les services tiers doivent être conservés et relus pour le cas concret. — revue 2026-07-28</x:v>
      </x:c>
    </x:row>
    <x:row r="21" ht="76" customHeight="1">
      <x:c r="B21" s="16" t="str">
        <x:v>SUPABASE-BACKUPS</x:v>
      </x:c>
      <x:c r="C21" s="16" t="str">
        <x:v>donnees-supabase</x:v>
      </x:c>
      <x:c r="D21" s="16" t="str">
        <x:v>Supabase</x:v>
      </x:c>
      <x:c r="E21" s="16" t="str">
        <x:v>Database Backups</x:v>
      </x:c>
      <x:c r="F21" s="16" t="str">
        <x:v>https://supabase.com/docs/guides/platform/backups</x:v>
      </x:c>
      <x:c r="G21" s="16" t="str">
        <x:v>Distinguer sauvegarde PostgreSQL, objets Storage, disponibilité par plan, restauration et limites des rôles personnalisés.</x:v>
      </x:c>
      <x:c r="H21" s="16" t="str">
        <x:v>Une sauvegarde disponible ne prouve pas une restauration complète ; objets, auth, fonctions, secrets et intégrations doivent être testés séparément. — revue 2026-07-28</x:v>
      </x:c>
    </x:row>
    <x:row r="22" ht="76" customHeight="1">
      <x:c r="B22" s="16" t="str">
        <x:v>SUPABASE-KEYS</x:v>
      </x:c>
      <x:c r="C22" s="16" t="str">
        <x:v>securite-supabase</x:v>
      </x:c>
      <x:c r="D22" s="16" t="str">
        <x:v>Supabase</x:v>
      </x:c>
      <x:c r="E22" s="16" t="str">
        <x:v>Understanding API keys</x:v>
      </x:c>
      <x:c r="F22" s="16" t="str">
        <x:v>https://supabase.com/docs/guides/getting-started/api-keys</x:v>
      </x:c>
      <x:c r="G22" s="16" t="str">
        <x:v>Distinguer clés publishable et secret, rôle de RLS, exposition côté client et migration des clés legacy.</x:v>
      </x:c>
      <x:c r="H22" s="16" t="str">
        <x:v>La sécurité dépend des politiques, des appelants et de la rotation réellement exécutée ; une clé publishable n’est pas un contrôle d’autorisation. — revue 2026-07-28</x:v>
      </x:c>
    </x:row>
    <x:row r="23" ht="76" customHeight="1">
      <x:c r="B23" s="16" t="str">
        <x:v>SUPABASE-TRANSFER</x:v>
      </x:c>
      <x:c r="C23" s="16" t="str">
        <x:v>plateforme-supabase</x:v>
      </x:c>
      <x:c r="D23" s="16" t="str">
        <x:v>Supabase</x:v>
      </x:c>
      <x:c r="E23" s="16" t="str">
        <x:v>Transferring projects</x:v>
      </x:c>
      <x:c r="F23" s="16" t="str">
        <x:v>https://supabase.com/docs/guides/platform/project-transfer</x:v>
      </x:c>
      <x:c r="G23" s="16" t="str">
        <x:v>Vérifier rôles, organisations, intégration GitHub, rôles projet, log drains, disponibilité et effets du plan lors d’un transfert.</x:v>
      </x:c>
      <x:c r="H23" s="16" t="str">
        <x:v>Le transfert d’organisation n’est pas une migration de région et peut entraîner une courte indisponibilité ou des changements de fonctions et de droits. — revue 2026-07-28</x:v>
      </x:c>
    </x:row>
    <x:row r="24" ht="76" customHeight="1">
      <x:c r="B24" s="16" t="str">
        <x:v>NPM-CI</x:v>
      </x:c>
      <x:c r="C24" s="16" t="str">
        <x:v>supply-chain-node</x:v>
      </x:c>
      <x:c r="D24" s="16" t="str">
        <x:v>npm</x:v>
      </x:c>
      <x:c r="E24" s="16" t="str">
        <x:v>npm-ci — npm CLI 12</x:v>
      </x:c>
      <x:c r="F24" s="16" t="str">
        <x:v>https://docs.npmjs.com/cli/v12/commands/npm-ci/</x:v>
      </x:c>
      <x:c r="G24" s="16" t="str">
        <x:v>Prouver les conditions d’une installation propre, les manifests gelés, les options de lockfile et les contrôles npm 12 sur sources et scripts.</x:v>
      </x:c>
      <x:c r="H24" s="16" t="str">
        <x:v>La version courante et la configuration de projet doivent être enregistrées ; une installation réussie ne garantit ni sécurité ni reproductibilité du build. — revue 2026-07-28</x:v>
      </x:c>
    </x:row>
    <x:row r="25" ht="76" customHeight="1">
      <x:c r="B25" s="16" t="str">
        <x:v>NPM-SBOM</x:v>
      </x:c>
      <x:c r="C25" s="16" t="str">
        <x:v>supply-chain-node</x:v>
      </x:c>
      <x:c r="D25" s="16" t="str">
        <x:v>npm</x:v>
      </x:c>
      <x:c r="E25" s="16" t="str">
        <x:v>npm-sbom — npm CLI 12</x:v>
      </x:c>
      <x:c r="F25" s="16" t="str">
        <x:v>https://docs.npmjs.com/cli/v12/commands/npm-sbom/</x:v>
      </x:c>
      <x:c r="G25" s="16" t="str">
        <x:v>Générer un inventaire SPDX ou CycloneDX des dépendances observées.</x:v>
      </x:c>
      <x:c r="H25" s="16" t="str">
        <x:v>Un SBOM ne remplace ni revue de licences, ni audit de vulnérabilités, ni preuve de correspondance avec l’artefact déployé. — revue 2026-07-28</x:v>
      </x:c>
    </x:row>
    <x:row r="26" ht="76" customHeight="1">
      <x:c r="B26" s="16" t="str">
        <x:v>GITHUB-ATTEST</x:v>
      </x:c>
      <x:c r="C26" s="16" t="str">
        <x:v>provenance-build</x:v>
      </x:c>
      <x:c r="D26" s="16" t="str">
        <x:v>GitHub</x:v>
      </x:c>
      <x:c r="E26" s="16" t="str">
        <x:v>Using artifact attestations to establish provenance for builds</x:v>
      </x:c>
      <x:c r="F26" s="16" t="str">
        <x:v>https://docs.github.com/en/actions/how-tos/secure-your-work/use-artifact-attestations/use-artifact-attestations</x:v>
      </x:c>
      <x:c r="G26" s="16" t="str">
        <x:v>Relier artefact, workflow, dépôt, commit et contexte de build, puis vérifier l’attestation avec GitHub CLI.</x:v>
      </x:c>
      <x:c r="H26" s="16" t="str">
        <x:v>Fonctionnalité dépendante du plan et du type de dépôt ; l’attestation ne prouve ni qualité fonctionnelle ni identité de l’artefact servi sans comparaison de digest. — revue 2026-07-28</x:v>
      </x:c>
    </x:row>
    <x:row r="27" ht="76" customHeight="1">
      <x:c r="B27" s="16" t="str">
        <x:v>GITHUB-SECRET-SCANNING</x:v>
      </x:c>
      <x:c r="C27" s="16" t="str">
        <x:v>securite-supply-chain</x:v>
      </x:c>
      <x:c r="D27" s="16" t="str">
        <x:v>GitHub</x:v>
      </x:c>
      <x:c r="E27" s="16" t="str">
        <x:v>Secret scanning</x:v>
      </x:c>
      <x:c r="F27" s="16" t="str">
        <x:v>https://docs.github.com/en/code-security/concepts/secret-security/secret-scanning</x:v>
      </x:c>
      <x:c r="G27" s="16" t="str">
        <x:v>Rechercher les secrets exposés dans l’historique, les issues, les pull requests et les autres emplacements couverts, puis organiser révocation et rotation.</x:v>
      </x:c>
      <x:c r="H27" s="16" t="str">
        <x:v>La couverture dépend du dépôt, du plan, des motifs reconnus et de la configuration ; l’absence d’alerte ne prouve pas l’absence de secret. — revue 2026-07-28</x:v>
      </x:c>
    </x:row>
    <x:row r="28" ht="76" customHeight="1">
      <x:c r="B28" s="16" t="str">
        <x:v>SLSA-1-2</x:v>
      </x:c>
      <x:c r="C28" s="16" t="str">
        <x:v>benchmark-mondial</x:v>
      </x:c>
      <x:c r="D28" s="16" t="str">
        <x:v>SLSA / OpenSSF</x:v>
      </x:c>
      <x:c r="E28" s="16" t="str">
        <x:v>SLSA specification version 1.2</x:v>
      </x:c>
      <x:c r="F28" s="16" t="str">
        <x:v>https://slsa.dev/spec/v1.2/</x:v>
      </x:c>
      <x:c r="G28" s="16" t="str">
        <x:v>Structurer les garanties progressives, les pistes Source et Build et les attestations de provenance.</x:v>
      </x:c>
      <x:c r="H28" s="16" t="str">
        <x:v>Le guide ne peut revendiquer un niveau SLSA sans satisfaire et vérifier toutes les exigences applicables ; un hash seul n’est pas une provenance. — revue 2026-07-28</x:v>
      </x:c>
    </x:row>
    <x:row r="29" ht="76" customHeight="1">
      <x:c r="B29" s="16" t="str">
        <x:v>NIST-SSDF-1-1</x:v>
      </x:c>
      <x:c r="C29" s="16" t="str">
        <x:v>benchmark-etats-unis</x:v>
      </x:c>
      <x:c r="D29" s="16" t="str">
        <x:v>NIST</x:v>
      </x:c>
      <x:c r="E29" s="16" t="str">
        <x:v>SP 800-218 — Secure Software Development Framework version 1.1</x:v>
      </x:c>
      <x:c r="F29" s="16" t="str">
        <x:v>https://csrc.nist.gov/pubs/sp/800/218/final</x:v>
      </x:c>
      <x:c r="G29" s="16" t="str">
        <x:v>Relier préparation, protection du logiciel, production sûre et réponse aux vulnérabilités dans une approche fondée sur le risque.</x:v>
      </x:c>
      <x:c r="H29" s="16" t="str">
        <x:v>La version 1.1 reste la dernière finale au gel tandis que 1.2 est draft ; le SSDF n’est ni une checklist universelle ni une certification. — revue 2026-07-28</x:v>
      </x:c>
    </x:row>
    <x:row r="30" ht="76" customHeight="1">
      <x:c r="B30" s="16" t="str">
        <x:v>OWASP-ASVS-5</x:v>
      </x:c>
      <x:c r="C30" s="16" t="str">
        <x:v>benchmark-application</x:v>
      </x:c>
      <x:c r="D30" s="16" t="str">
        <x:v>OWASP Foundation</x:v>
      </x:c>
      <x:c r="E30" s="16" t="str">
        <x:v>Application Security Verification Standard 5.0.0</x:v>
      </x:c>
      <x:c r="F30" s="16" t="str">
        <x:v>https://owasp.org/www-project-application-security-verification-standard/</x:v>
      </x:c>
      <x:c r="G30" s="16" t="str">
        <x:v>Sélectionner des exigences de vérification applicative versionnées et les référencer sous la forme v5.0.0-chapitre.section.exigence.</x:v>
      </x:c>
      <x:c r="H30" s="16" t="str">
        <x:v>Les exigences et le niveau doivent être adaptés au risque ; un scanner automatique ne démontre pas la conformité à ASVS. — revue 2026-07-28</x:v>
      </x:c>
    </x:row>
    <x:row r="31" ht="76" customHeight="1">
      <x:c r="B31" s="16" t="str">
        <x:v>NCSC-PIPELINE</x:v>
      </x:c>
      <x:c r="C31" s="16" t="str">
        <x:v>benchmark-royaume-uni</x:v>
      </x:c>
      <x:c r="D31" s="16" t="str">
        <x:v>UK National Cyber Security Centre</x:v>
      </x:c>
      <x:c r="E31" s="16" t="str">
        <x:v>Secure the build and deployment pipeline</x:v>
      </x:c>
      <x:c r="F31" s="16" t="str">
        <x:v>https://www.ncsc.gov.uk/collection/developers-collection/principles/secure-the-build-and-deployment-pipeline</x:v>
      </x:c>
      <x:c r="G31" s="16" t="str">
        <x:v>Exiger un pipeline digne de confiance, une chaîne de contrôle source-build-déploiement, des revues et une traçabilité.</x:v>
      </x:c>
      <x:c r="H31" s="16" t="str">
        <x:v>Conseil britannique à contextualiser ; la confiance dans le pipeline ne prouve pas la correction du produit ni sa conformité française. — revue 2026-07-28</x:v>
      </x:c>
    </x:row>
    <x:row r="32" ht="76" customHeight="1">
      <x:c r="B32" s="16" t="str">
        <x:v>NCSC-SUPPLY-CHAIN</x:v>
      </x:c>
      <x:c r="C32" s="16" t="str">
        <x:v>benchmark-royaume-uni</x:v>
      </x:c>
      <x:c r="D32" s="16" t="str">
        <x:v>UK National Cyber Security Centre</x:v>
      </x:c>
      <x:c r="E32" s="16" t="str">
        <x:v>Software Security Code of Practice — Theme 1: Secure design and development</x:v>
      </x:c>
      <x:c r="F32" s="16" t="str">
        <x:v>https://www.ncsc.gov.uk/collection/software-security-code-of-practice-implementation-guidance/theme-1-secure-design-development</x:v>
      </x:c>
      <x:c r="G32" s="16" t="str">
        <x:v>Inventorier dépendances internes, directes, tierces et transitives, compilateurs, systèmes de build et SBOM partageable.</x:v>
      </x:c>
      <x:c r="H32" s="16" t="str">
        <x:v>Code of Practice britannique, pas obligation juridique française automatique ; le format d’inventaire doit rester adapté au produit. — revue 2026-07-28</x:v>
      </x:c>
    </x:row>
    <x:row r="33" ht="76" customHeight="1">
      <x:c r="B33" s="16" t="str">
        <x:v>UK-DDAT-PLAYBOOK</x:v>
      </x:c>
      <x:c r="C33" s="16" t="str">
        <x:v>benchmark-royaume-uni</x:v>
      </x:c>
      <x:c r="D33" s="16" t="str">
        <x:v>UK Government</x:v>
      </x:c>
      <x:c r="E33" s="16" t="str">
        <x:v>The Digital, Data and Technology Playbook</x:v>
      </x:c>
      <x:c r="F33" s="16" t="str">
        <x:v>https://www.gov.uk/government/publications/the-digital-data-and-technology-playbook/the-digital-data-and-technology-playbook</x:v>
      </x:c>
      <x:c r="G33" s="16" t="str">
        <x:v>Relier stratégie de sortie, interopérabilité, standards ouverts, propriété des données et réduction de la dépendance fournisseur à des livrables contrôlables.</x:v>
      </x:c>
      <x:c r="H33" s="16" t="str">
        <x:v>Référentiel d’achat public britannique, non obligation juridique française ni recette universelle pour un MVP privé. — revue 2026-07-28</x:v>
      </x:c>
    </x:row>
    <x:row r="34" ht="76" customHeight="1">
      <x:c r="B34" s="16" t="str">
        <x:v>ASD-SOFTWARE-2026</x:v>
      </x:c>
      <x:c r="C34" s="16" t="str">
        <x:v>benchmark-australie</x:v>
      </x:c>
      <x:c r="D34" s="16" t="str">
        <x:v>Australian Signals Directorate / Australian Cyber Security Centre</x:v>
      </x:c>
      <x:c r="E34" s="16" t="str">
        <x:v>Guidelines for software development — June 2026</x:v>
      </x:c>
      <x:c r="F34" s="16" t="str">
        <x:v>https://www.cyber.gov.au/business-government/asds-cyber-security-frameworks/ism/cyber-security-guidelines/guidelines-for-software-development</x:v>
      </x:c>
      <x:c r="G34" s="16" t="str">
        <x:v>Couvrir développement humain et assisté par IA, source autoritative, environnements séparés, Secure by Design/Default, threat modelling, signatures, SAST, DAST et SCA.</x:v>
      </x:c>
      <x:c r="H34" s="16" t="str">
        <x:v>Référentiel gouvernemental australien à sélectionner selon contexte, sensibilité et juridiction ; aucune certification n’en découle. — revue 2026-07-28</x:v>
      </x:c>
    </x:row>
    <x:row r="35" ht="76" customHeight="1">
      <x:c r="B35" s="16" t="str">
        <x:v>JAPAN-DIGITAL-GUIDELINES</x:v>
      </x:c>
      <x:c r="C35" s="16" t="str">
        <x:v>benchmark-japon</x:v>
      </x:c>
      <x:c r="D35" s="16" t="str">
        <x:v>Digital Agency Japan</x:v>
      </x:c>
      <x:c r="E35" s="16" t="str">
        <x:v>Digital Society Promotion Standard Guidelines — DS-200, DS-202 and DS-203</x:v>
      </x:c>
      <x:c r="F35" s="16" t="str">
        <x:v>https://www.digital.go.jp/en/resources/standard_guidelines</x:v>
      </x:c>
      <x:c r="G35" s="16" t="str">
        <x:v>Comparer sécurité sur tout le cycle, protection du pipeline CI/CD et gestion du risque sur l’ensemble de la supply chain.</x:v>
      </x:c>
      <x:c r="H35" s="16" t="str">
        <x:v>Les documents sont des références gouvernementales japonaises, parfois en traduction automatique ; ils ne valent ni droit français ni certification privée. — revue 2026-07-28</x:v>
      </x:c>
    </x:row>
    <x:row r="36" ht="76" customHeight="1">
      <x:c r="B36" s="16" t="str">
        <x:v>CNIL-SOUS-TRAITANCE</x:v>
      </x:c>
      <x:c r="C36" s="16" t="str">
        <x:v>rgpd-france</x:v>
      </x:c>
      <x:c r="D36" s="16" t="str">
        <x:v>CNIL</x:v>
      </x:c>
      <x:c r="E36" s="16" t="str">
        <x:v>Travailler avec un sous-traitant</x:v>
      </x:c>
      <x:c r="F36" s="16" t="str">
        <x:v>https://www.cnil.fr/fr/sous-traitant</x:v>
      </x:c>
      <x:c r="G36" s="16" t="str">
        <x:v>Qualifier les rôles et encadrer contrat, sécurité, confidentialité, sous-traitants ultérieurs, aide aux droits, violations, restitution, destruction et audits.</x:v>
      </x:c>
      <x:c r="H36" s="16" t="str">
        <x:v>Le rôle et les clauses dépendent du traitement réel ; la page ne remplace pas la revue du DPA, des transferts et du contrat par les personnes compétentes. — revue 2026-07-28</x:v>
      </x:c>
    </x:row>
    <x:row r="37" ht="76" customHeight="1">
      <x:c r="B37" s="16" t="str">
        <x:v>CNIL-PORTABILITE</x:v>
      </x:c>
      <x:c r="C37" s="16" t="str">
        <x:v>rgpd-france</x:v>
      </x:c>
      <x:c r="D37" s="16" t="str">
        <x:v>CNIL</x:v>
      </x:c>
      <x:c r="E37" s="16" t="str">
        <x:v>Professionnels : comment répondre à une demande de droit à la portabilité ?</x:v>
      </x:c>
      <x:c r="F37" s="16" t="str">
        <x:v>https://www.cnil.fr/fr/respecter-les-droits-des-personnes/professionnels-comment-repondre-une-demande-de-droit-la-portabilite</x:v>
      </x:c>
      <x:c r="G37" s="16" t="str">
        <x:v>Délimiter consentement ou contrat, traitement automatisé, données fournies ou issues de l’activité, données dérivées et droits des tiers.</x:v>
      </x:c>
      <x:c r="H37" s="16" t="str">
        <x:v>Le droit RGPD porte sur certaines données personnelles ; il n’est ni une portabilité générale de l’application ni une procédure de suppression automatique. — revue 2026-07-28</x:v>
      </x:c>
    </x:row>
    <x:row r="38" ht="76" customHeight="1">
      <x:c r="B38" s="16" t="str">
        <x:v>CNIL-VIOLATIONS</x:v>
      </x:c>
      <x:c r="C38" s="16" t="str">
        <x:v>rgpd-france</x:v>
      </x:c>
      <x:c r="D38" s="16" t="str">
        <x:v>CNIL</x:v>
      </x:c>
      <x:c r="E38" s="16" t="str">
        <x:v>Violations de données personnelles : les règles à suivre</x:v>
      </x:c>
      <x:c r="F38" s="16" t="str">
        <x:v>https://www.cnil.fr/fr/violations-de-donnees-personnelles-les-regles-suivre</x:v>
      </x:c>
      <x:c r="G38" s="16" t="str">
        <x:v>Encadrer documentation, qualification, notification à la CNIL sous 72 heures lorsque requise et information éventuelle des personnes.</x:v>
      </x:c>
      <x:c r="H38" s="16" t="str">
        <x:v>L’obligation dépend de la violation et du risque ; le guide ne remplace pas l’analyse du DPO, du conseil ou de l’autorité compétente. — revue 2026-07-28</x:v>
      </x:c>
    </x:row>
    <x:row r="39" ht="76" customHeight="1">
      <x:c r="B39" s="16" t="str">
        <x:v>EU-DATA-ACT</x:v>
      </x:c>
      <x:c r="C39" s="16" t="str">
        <x:v>droit-union-europeenne</x:v>
      </x:c>
      <x:c r="D39" s="16" t="str">
        <x:v>Union européenne / EUR-Lex</x:v>
      </x:c>
      <x:c r="E39" s="16" t="str">
        <x:v>Règlement (UE) 2023/2854 — Data Act</x:v>
      </x:c>
      <x:c r="F39" s="16" t="str">
        <x:v>https://eur-lex.europa.eu/eli/reg/2023/2854/oj</x:v>
      </x:c>
      <x:c r="G39" s="16" t="str">
        <x:v>Qualifier l’application depuis le 12 septembre 2025, le changement de services de traitement de données, les actifs exportables et la suppression progressive des frais jusqu’au 12 janvier 2027.</x:v>
      </x:c>
      <x:c r="H39" s="16" t="str">
        <x:v>L’applicabilité, les exclusions, secrets d’affaires, propriété intellectuelle, services tiers et actifs exportables doivent être qualifiés ; ne pas promettre une sortie intégrale et gratuite par défaut. — revue 2026-07-28</x:v>
      </x:c>
    </x:row>
    <x:row r="40" ht="76" customHeight="1">
      <x:c r="B40" s="16" t="str">
        <x:v>FR-CPI-L111-1</x:v>
      </x:c>
      <x:c r="C40" s="16" t="str">
        <x:v>droit-france</x:v>
      </x:c>
      <x:c r="D40" s="16" t="str">
        <x:v>Légifrance</x:v>
      </x:c>
      <x:c r="E40" s="16" t="str">
        <x:v>Code de la propriété intellectuelle — article L111-1</x:v>
      </x:c>
      <x:c r="F40" s="16" t="str">
        <x:v>https://www.legifrance.gouv.fr/codes/article_lc/LEGIARTI000006278868</x:v>
      </x:c>
      <x:c r="G40" s="16" t="str">
        <x:v>Rappeler que le droit naît avec la création et qu’un contrat de service ne transfère pas automatiquement les droits de l’auteur.</x:v>
      </x:c>
      <x:c r="H40" s="16" t="str">
        <x:v>Les exceptions et la qualification du cas concret doivent être examinées ; le guide ne rend pas d’avis juridique. — revue 2026-07-28</x:v>
      </x:c>
    </x:row>
    <x:row r="41" ht="76" customHeight="1">
      <x:c r="B41" s="16" t="str">
        <x:v>FR-CPI-L113-9</x:v>
      </x:c>
      <x:c r="C41" s="16" t="str">
        <x:v>droit-france</x:v>
      </x:c>
      <x:c r="D41" s="16" t="str">
        <x:v>Légifrance</x:v>
      </x:c>
      <x:c r="E41" s="16" t="str">
        <x:v>Code de la propriété intellectuelle — article L113-9</x:v>
      </x:c>
      <x:c r="F41" s="16" t="str">
        <x:v>https://www.legifrance.gouv.fr/codes/article_lc/LEGIARTI000039279818</x:v>
      </x:c>
      <x:c r="G41" s="16" t="str">
        <x:v>Distinguer la dévolution des droits patrimoniaux sur le logiciel créé par un employé dans ses fonctions du cas d’un prestataire externe.</x:v>
      </x:c>
      <x:c r="H41" s="16" t="str">
        <x:v>Statut, fonctions, instructions et stipulations contraires doivent être qualifiés ; la règle ne s’étend pas automatiquement au freelance ou à l’agence. — revue 2026-07-28</x:v>
      </x:c>
    </x:row>
    <x:row r="42" ht="76" customHeight="1">
      <x:c r="B42" s="17" t="str">
        <x:v>FR-CPI-L131-3</x:v>
      </x:c>
      <x:c r="C42" s="17" t="str">
        <x:v>droit-france</x:v>
      </x:c>
      <x:c r="D42" s="17" t="str">
        <x:v>Légifrance</x:v>
      </x:c>
      <x:c r="E42" s="17" t="str">
        <x:v>Code de la propriété intellectuelle — article L131-3</x:v>
      </x:c>
      <x:c r="F42" s="17" t="str">
        <x:v>https://www.legifrance.gouv.fr/codes/article_lc/LEGIARTI000006278958</x:v>
      </x:c>
      <x:c r="G42" s="17" t="str">
        <x:v>Vérifier la mention distincte de chaque droit cédé et la délimitation de l’étendue, destination, lieu et durée.</x:v>
      </x:c>
      <x:c r="H42" s="17" t="str">
        <x:v>Le texte du contrat, ses avenants et la chaîne de sous-traitance restent déterminants ; faire relire les incertitudes matérielles. — revue 2026-07-28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dce6ed95e3d348c3"/>
  </x:tableParts>
</x:worksheet>
</file>